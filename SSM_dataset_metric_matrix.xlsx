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33120" windowHeight="18000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按指标类型分类" sheetId="2" state="visible" r:id="rId2"/>
    <sheet xmlns:r="http://schemas.openxmlformats.org/officeDocument/2006/relationships" name="按碰撞类型分类" sheetId="3" state="visible" r:id="rId3"/>
    <sheet xmlns:r="http://schemas.openxmlformats.org/officeDocument/2006/relationships" name="指标×数据集" sheetId="4" state="visible" r:id="rId4"/>
    <sheet xmlns:r="http://schemas.openxmlformats.org/officeDocument/2006/relationships" name="△条件汇总" sheetId="5" state="visible" r:id="rId5"/>
    <sheet xmlns:r="http://schemas.openxmlformats.org/officeDocument/2006/relationships" name="自车图像数据集对比" sheetId="6" state="visible" r:id="rId6"/>
    <sheet xmlns:r="http://schemas.openxmlformats.org/officeDocument/2006/relationships" name="条件明细" sheetId="7" state="visible" r:id="rId7"/>
    <sheet xmlns:r="http://schemas.openxmlformats.org/officeDocument/2006/relationships" name="数据集信息" sheetId="8" state="visible" r:id="rId8"/>
    <sheet xmlns:r="http://schemas.openxmlformats.org/officeDocument/2006/relationships" name="指标所需数据" sheetId="9" state="visible" r:id="rId9"/>
  </sheets>
  <definedNames>
    <definedName name="_xlnm._FilterDatabase" localSheetId="1" hidden="1">'按指标类型分类'!$A$5:$O$34</definedName>
    <definedName name="_xlnm._FilterDatabase" localSheetId="2" hidden="1">'按碰撞类型分类'!$A$5:$J$91</definedName>
    <definedName name="_xlnm._FilterDatabase" localSheetId="6" hidden="1">'条件明细'!$A$2:$E$245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宋体"/>
      <family val="2"/>
      <color theme="1"/>
      <sz val="11"/>
      <scheme val="minor"/>
    </font>
    <font>
      <name val="Arial"/>
      <b val="1"/>
      <color rgb="FF000000"/>
      <sz val="14"/>
    </font>
    <font>
      <name val="Arial"/>
      <b val="1"/>
      <color rgb="FF000000"/>
      <sz val="10"/>
    </font>
    <font>
      <name val="Arial"/>
      <color rgb="FF000000"/>
      <sz val="10"/>
    </font>
    <font>
      <name val="Arial"/>
      <b val="1"/>
      <color rgb="FF000000"/>
      <sz val="13"/>
    </font>
    <font>
      <name val="Arial"/>
      <b val="1"/>
      <color rgb="FFFFFFFF"/>
      <sz val="10"/>
    </font>
    <font>
      <name val="Arial"/>
      <color rgb="FF000000"/>
      <sz val="9"/>
    </font>
    <font>
      <name val="Arial"/>
      <b val="1"/>
      <color rgb="FF000000"/>
      <sz val="11"/>
    </font>
    <font>
      <name val="宋体"/>
      <charset val="134"/>
      <family val="3"/>
      <sz val="9"/>
      <scheme val="minor"/>
    </font>
    <font>
      <name val="Arial"/>
      <b val="1"/>
      <color rgb="00000000"/>
      <sz val="13"/>
    </font>
    <font>
      <name val="Arial"/>
      <color rgb="00000000"/>
      <sz val="9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</fonts>
  <fills count="23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C6EFCE"/>
      </patternFill>
    </fill>
    <fill>
      <patternFill patternType="solid">
        <fgColor rgb="FFD8E4BC"/>
      </patternFill>
    </fill>
    <fill>
      <patternFill patternType="solid">
        <fgColor rgb="FFFFEB9C"/>
      </patternFill>
    </fill>
    <fill>
      <patternFill patternType="solid">
        <fgColor rgb="FFDDEBF7"/>
      </patternFill>
    </fill>
    <fill>
      <patternFill patternType="solid">
        <fgColor rgb="FFE4DFEC"/>
      </patternFill>
    </fill>
    <fill>
      <patternFill patternType="solid">
        <fgColor rgb="FFFFC7CE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00C6EFCE"/>
      </patternFill>
    </fill>
    <fill>
      <patternFill patternType="solid">
        <fgColor rgb="00D8E4BC"/>
      </patternFill>
    </fill>
    <fill>
      <patternFill patternType="solid">
        <fgColor rgb="001F3864"/>
      </patternFill>
    </fill>
    <fill>
      <patternFill patternType="solid">
        <fgColor rgb="00EDEDED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4DFEC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2" fillId="13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1" fillId="16" borderId="6" applyAlignment="1" pivotButton="0" quotePrefix="0" xfId="0">
      <alignment horizontal="center" vertical="center" wrapText="1"/>
    </xf>
    <xf numFmtId="0" fontId="10" fillId="17" borderId="6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left" vertical="center" wrapText="1"/>
    </xf>
    <xf numFmtId="0" fontId="13" fillId="0" borderId="6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center" vertical="center" wrapText="1"/>
    </xf>
    <xf numFmtId="0" fontId="10" fillId="18" borderId="6" applyAlignment="1" pivotButton="0" quotePrefix="0" xfId="0">
      <alignment horizontal="left" vertical="center" wrapText="1"/>
    </xf>
    <xf numFmtId="0" fontId="10" fillId="19" borderId="6" applyAlignment="1" pivotButton="0" quotePrefix="0" xfId="0">
      <alignment horizontal="left" vertical="center" wrapText="1"/>
    </xf>
    <xf numFmtId="0" fontId="10" fillId="20" borderId="6" applyAlignment="1" pivotButton="0" quotePrefix="0" xfId="0">
      <alignment horizontal="left" vertical="center" wrapText="1"/>
    </xf>
    <xf numFmtId="0" fontId="10" fillId="21" borderId="6" applyAlignment="1" pivotButton="0" quotePrefix="0" xfId="0">
      <alignment horizontal="left" vertical="center" wrapText="1"/>
    </xf>
    <xf numFmtId="0" fontId="10" fillId="22" borderId="6" applyAlignment="1" pivotButton="0" quotePrefix="0" xfId="0">
      <alignment horizontal="left" vertical="center" wrapText="1"/>
    </xf>
    <xf numFmtId="0" fontId="7" fillId="14" borderId="1" applyAlignment="1" pivotButton="0" quotePrefix="0" xfId="0">
      <alignment horizontal="center" vertical="center" wrapText="1"/>
    </xf>
    <xf numFmtId="0" fontId="7" fillId="15" borderId="1" applyAlignment="1" pivotButton="0" quotePrefix="0" xfId="0">
      <alignment horizontal="center" vertical="center" wrapText="1"/>
    </xf>
    <xf numFmtId="0" fontId="2" fillId="15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SSM 对照表</author>
  </authors>
  <commentList>
    <comment ref="P6" authorId="0" shapeId="0">
      <text>
        <t>[C7] 前后车配对：没有高精地图，只能按几何位置判断是否同车道</t>
      </text>
    </comment>
    <comment ref="Q6" authorId="0" shapeId="0">
      <text>
        <t>[C7] 前后车配对：没有高精地图，只能按几何位置判断是否同车道</t>
      </text>
    </comment>
    <comment ref="U6" authorId="0" shapeId="0">
      <text>
        <t>可由目标在画面中变大的速度近似（不需要真实距离）</t>
      </text>
    </comment>
    <comment ref="V6" authorId="0" shapeId="0">
      <text>
        <t>可由目标在画面中变大的速度近似（不需要真实距离）</t>
      </text>
    </comment>
    <comment ref="G7" authorId="0" shapeId="0">
      <text>
        <t>[C4] 交叉冲突：没有路口，只有变道和汇入</t>
      </text>
    </comment>
    <comment ref="M7" authorId="0" shapeId="0">
      <text>
        <t>[C8] 交叉冲突：经过冲突区的时刻只精确到 0.5 秒，需插值；每段只有 20 秒，两车都要在段内经过冲突点</t>
      </text>
    </comment>
    <comment ref="N7" authorId="0" shapeId="0">
      <text>
        <t>[C4] 交叉冲突：每段较短，冲突点要在段内</t>
      </text>
    </comment>
    <comment ref="O7" authorId="0" shapeId="0">
      <text>
        <t>[C4] 交叉冲突：每段 20 秒，冲突点要在段内</t>
      </text>
    </comment>
    <comment ref="P7" authorId="0" shapeId="0">
      <text>
        <t>[C4] 交叉冲突：序列短、路口少</t>
      </text>
    </comment>
    <comment ref="Q7" authorId="0" shapeId="0">
      <text>
        <t>[C4] 交叉冲突：每段只有 8 秒</t>
      </text>
    </comment>
    <comment ref="U7" authorId="0" shapeId="0">
      <text>
        <t>数据里没有周围物体的 3D 轨迹，需先用 CV（3D 检测/单目深度）从画面重建，误差大</t>
      </text>
    </comment>
    <comment ref="V7" authorId="0" shapeId="0">
      <text>
        <t>数据里没有周围物体的 3D 轨迹，需先用 CV（3D 检测/单目深度）从画面重建，误差大</t>
      </text>
    </comment>
    <comment ref="W7" authorId="0" shapeId="0">
      <text>
        <t>[缺数据] 交叉冲突：只有前车，没有交叉冲突</t>
      </text>
    </comment>
    <comment ref="P8" authorId="0" shapeId="0">
      <text>
        <t>[C7] 前后车配对：没有高精地图，只能按几何位置判断是否同车道</t>
      </text>
    </comment>
    <comment ref="Q8" authorId="0" shapeId="0">
      <text>
        <t>[C7] 前后车配对：没有高精地图，只能按几何位置判断是否同车道</t>
      </text>
    </comment>
    <comment ref="U8" authorId="0" shapeId="0">
      <text>
        <t>数据里没有周围物体的 3D 轨迹，需先用 CV（3D 检测/单目深度）从画面重建，误差大</t>
      </text>
    </comment>
    <comment ref="V8" authorId="0" shapeId="0">
      <text>
        <t>数据里没有周围物体的 3D 轨迹，需先用 CV（3D 检测/单目深度）从画面重建，误差大</t>
      </text>
    </comment>
    <comment ref="E9" authorId="0" shapeId="0">
      <text>
        <t>[C1] 加速度：没有加速度字段，要由速度（30 Hz）差分并平滑</t>
      </text>
    </comment>
    <comment ref="F9" authorId="0" shapeId="0">
      <text>
        <t>[C1] 加速度：官方加速度噪声大，需先平滑（或用他人重构的轨迹）</t>
      </text>
    </comment>
    <comment ref="K9" authorId="0" shapeId="0">
      <text>
        <t>[C1] 加速度：没有加速度字段，需由速度（10 Hz）差分</t>
      </text>
    </comment>
    <comment ref="L9" authorId="0" shapeId="0">
      <text>
        <t>[C1] 加速度：是否直接提供加速度未核实，可能需自己差分</t>
      </text>
    </comment>
    <comment ref="M9" authorId="0" shapeId="0">
      <text>
        <t>[C1] 加速度：其他车的加速度要由 2 Hz 标注二次差分，误差大，也看不出刹车从哪一刻开始；自车加速度用 CAN 总线（IMU 100 Hz）</t>
      </text>
    </comment>
    <comment ref="N9" authorId="0" shapeId="0">
      <text>
        <t>[C1] 加速度：其他车加速度要由 3D 框二次差分并平滑；自车可用位姿</t>
      </text>
    </comment>
    <comment ref="P9" authorId="0" shapeId="0">
      <text>
        <t>[C7] 前后车配对：没有高精地图，只能按几何位置判断是否同车道；[C1] 加速度：其他车需差分平滑；自车由 GPS/IMU 直接给</t>
      </text>
    </comment>
    <comment ref="Q9" authorId="0" shapeId="0">
      <text>
        <t>[C7] 前后车配对：没有高精地图，只能按几何位置判断是否同车道；[C1] 加速度：其他车需差分平滑</t>
      </text>
    </comment>
    <comment ref="R9" authorId="0" shapeId="0">
      <text>
        <t>[C1] 加速度：20 Hz 自动标注轨迹，需平滑</t>
      </text>
    </comment>
    <comment ref="S9" authorId="0" shapeId="0">
      <text>
        <t>[C1] 加速度：需差分平滑</t>
      </text>
    </comment>
    <comment ref="U9" authorId="0" shapeId="0">
      <text>
        <t>数据里没有周围物体的 3D 轨迹，需先用 CV（3D 检测/单目深度）从画面重建，误差大</t>
      </text>
    </comment>
    <comment ref="V9" authorId="0" shapeId="0">
      <text>
        <t>数据里没有周围物体的 3D 轨迹，需先用 CV（3D 检测/单目深度）从画面重建，误差大</t>
      </text>
    </comment>
    <comment ref="W9" authorId="0" shapeId="0">
      <text>
        <t>[C1] 加速度：前车加速度需由相对速度差分</t>
      </text>
    </comment>
    <comment ref="P10" authorId="0" shapeId="0">
      <text>
        <t>[C7] 前后车配对：没有高精地图，只能按几何位置判断是否同车道</t>
      </text>
    </comment>
    <comment ref="Q10" authorId="0" shapeId="0">
      <text>
        <t>[C7] 前后车配对：没有高精地图，只能按几何位置判断是否同车道</t>
      </text>
    </comment>
    <comment ref="U10" authorId="0" shapeId="0">
      <text>
        <t>可由目标在画面中变大的速度近似（不需要真实距离）</t>
      </text>
    </comment>
    <comment ref="V10" authorId="0" shapeId="0">
      <text>
        <t>可由目标在画面中变大的速度近似（不需要真实距离）</t>
      </text>
    </comment>
    <comment ref="F11" authorId="0" shapeId="0">
      <text>
        <t>[C3] 带朝向外框：有长宽但没有朝向，需由位置变化推算</t>
      </text>
    </comment>
    <comment ref="G11" authorId="0" shapeId="0">
      <text>
        <t>[C3] 带朝向外框：外框与车道平行，朝向需由速度推算；横向交互只有变道</t>
      </text>
    </comment>
    <comment ref="L11" authorId="0" shapeId="0">
      <text>
        <t>[C3] 带朝向外框：是否提供朝向未核实，可能需由位置推算</t>
      </text>
    </comment>
    <comment ref="U11" authorId="0" shapeId="0">
      <text>
        <t>数据里没有周围物体的 3D 轨迹，需先用 CV（3D 检测/单目深度）从画面重建，误差大</t>
      </text>
    </comment>
    <comment ref="V11" authorId="0" shapeId="0">
      <text>
        <t>数据里没有周围物体的 3D 轨迹，需先用 CV（3D 检测/单目深度）从画面重建，误差大</t>
      </text>
    </comment>
    <comment ref="W11" authorId="0" shapeId="0">
      <text>
        <t>[缺数据] 带朝向外框：没有周围车的外框和横向信息</t>
      </text>
    </comment>
    <comment ref="E12" authorId="0" shapeId="0">
      <text>
        <t>[P] 需自设：车辆动力学模型和最坏情况的设定</t>
      </text>
    </comment>
    <comment ref="F12" authorId="0" shapeId="0">
      <text>
        <t>[C3] 带朝向外框：有长宽但没有朝向，需由位置变化推算；[P] 需自设：车辆动力学模型和最坏情况的设定</t>
      </text>
    </comment>
    <comment ref="G12" authorId="0" shapeId="0">
      <text>
        <t>[C3] 带朝向外框：外框与车道平行，朝向需由速度推算；横向交互只有变道；[P] 需自设：车辆动力学模型和最坏情况的设定</t>
      </text>
    </comment>
    <comment ref="H12" authorId="0" shapeId="0">
      <text>
        <t>[P] 需自设：车辆动力学模型和最坏情况的设定</t>
      </text>
    </comment>
    <comment ref="I12" authorId="0" shapeId="0">
      <text>
        <t>[P] 需自设：车辆动力学模型和最坏情况的设定</t>
      </text>
    </comment>
    <comment ref="J12" authorId="0" shapeId="0">
      <text>
        <t>[P] 需自设：车辆动力学模型和最坏情况的设定</t>
      </text>
    </comment>
    <comment ref="K12" authorId="0" shapeId="0">
      <text>
        <t>[P] 需自设：车辆动力学模型和最坏情况的设定</t>
      </text>
    </comment>
    <comment ref="L12" authorId="0" shapeId="0">
      <text>
        <t>[C3] 带朝向外框：是否提供朝向未核实，可能需由位置推算；[P] 需自设：车辆动力学模型和最坏情况的设定</t>
      </text>
    </comment>
    <comment ref="M12" authorId="0" shapeId="0">
      <text>
        <t>[P] 需自设：车辆动力学模型和最坏情况的设定</t>
      </text>
    </comment>
    <comment ref="N12" authorId="0" shapeId="0">
      <text>
        <t>[P] 需自设：车辆动力学模型和最坏情况的设定</t>
      </text>
    </comment>
    <comment ref="O12" authorId="0" shapeId="0">
      <text>
        <t>[P] 需自设：车辆动力学模型和最坏情况的设定</t>
      </text>
    </comment>
    <comment ref="P12" authorId="0" shapeId="0">
      <text>
        <t>[P] 需自设：车辆动力学模型和最坏情况的设定</t>
      </text>
    </comment>
    <comment ref="Q12" authorId="0" shapeId="0">
      <text>
        <t>[P] 需自设：车辆动力学模型和最坏情况的设定</t>
      </text>
    </comment>
    <comment ref="R12" authorId="0" shapeId="0">
      <text>
        <t>[P] 需自设：车辆动力学模型和最坏情况的设定</t>
      </text>
    </comment>
    <comment ref="S12" authorId="0" shapeId="0">
      <text>
        <t>[P] 需自设：车辆动力学模型和最坏情况的设定</t>
      </text>
    </comment>
    <comment ref="T12" authorId="0" shapeId="0">
      <text>
        <t>[P] 需自设：车辆动力学模型和最坏情况的设定</t>
      </text>
    </comment>
    <comment ref="U12" authorId="0" shapeId="0">
      <text>
        <t>数据里没有周围物体的 3D 轨迹，需先用 CV（3D 检测/单目深度）从画面重建，误差大</t>
      </text>
    </comment>
    <comment ref="V12" authorId="0" shapeId="0">
      <text>
        <t>数据里没有周围物体的 3D 轨迹，需先用 CV（3D 检测/单目深度）从画面重建，误差大</t>
      </text>
    </comment>
    <comment ref="W12" authorId="0" shapeId="0">
      <text>
        <t>[缺数据] 带朝向外框：没有周围车的外框和横向信息</t>
      </text>
    </comment>
    <comment ref="P13" authorId="0" shapeId="0">
      <text>
        <t>[C7] 前后车配对：没有高精地图，只能按几何位置判断是否同车道</t>
      </text>
    </comment>
    <comment ref="Q13" authorId="0" shapeId="0">
      <text>
        <t>[C7] 前后车配对：没有高精地图，只能按几何位置判断是否同车道</t>
      </text>
    </comment>
    <comment ref="U13" authorId="0" shapeId="0">
      <text>
        <t>数据里没有周围物体的 3D 轨迹，需先用 CV（3D 检测/单目深度）从画面重建，误差大</t>
      </text>
    </comment>
    <comment ref="V13" authorId="0" shapeId="0">
      <text>
        <t>数据里没有周围物体的 3D 轨迹，需先用 CV（3D 检测/单目深度）从画面重建，误差大</t>
      </text>
    </comment>
    <comment ref="E14" authorId="0" shapeId="0">
      <text>
        <t>[P] 需自设：最大可接受减速度</t>
      </text>
    </comment>
    <comment ref="F14" authorId="0" shapeId="0">
      <text>
        <t>[P] 需自设：最大可接受减速度</t>
      </text>
    </comment>
    <comment ref="G14" authorId="0" shapeId="0">
      <text>
        <t>[P] 需自设：最大可接受减速度</t>
      </text>
    </comment>
    <comment ref="H14" authorId="0" shapeId="0">
      <text>
        <t>[P] 需自设：最大可接受减速度</t>
      </text>
    </comment>
    <comment ref="I14" authorId="0" shapeId="0">
      <text>
        <t>[P] 需自设：最大可接受减速度</t>
      </text>
    </comment>
    <comment ref="J14" authorId="0" shapeId="0">
      <text>
        <t>[P] 需自设：最大可接受减速度</t>
      </text>
    </comment>
    <comment ref="K14" authorId="0" shapeId="0">
      <text>
        <t>[P] 需自设：最大可接受减速度</t>
      </text>
    </comment>
    <comment ref="L14" authorId="0" shapeId="0">
      <text>
        <t>[P] 需自设：最大可接受减速度</t>
      </text>
    </comment>
    <comment ref="M14" authorId="0" shapeId="0">
      <text>
        <t>[P] 需自设：最大可接受减速度</t>
      </text>
    </comment>
    <comment ref="N14" authorId="0" shapeId="0">
      <text>
        <t>[P] 需自设：最大可接受减速度</t>
      </text>
    </comment>
    <comment ref="O14" authorId="0" shapeId="0">
      <text>
        <t>[P] 需自设：最大可接受减速度</t>
      </text>
    </comment>
    <comment ref="P14" authorId="0" shapeId="0">
      <text>
        <t>[C7] 前后车配对：没有高精地图，只能按几何位置判断是否同车道；[P] 需自设：最大可接受减速度</t>
      </text>
    </comment>
    <comment ref="Q14" authorId="0" shapeId="0">
      <text>
        <t>[C7] 前后车配对：没有高精地图，只能按几何位置判断是否同车道；[P] 需自设：最大可接受减速度</t>
      </text>
    </comment>
    <comment ref="R14" authorId="0" shapeId="0">
      <text>
        <t>[P] 需自设：最大可接受减速度</t>
      </text>
    </comment>
    <comment ref="S14" authorId="0" shapeId="0">
      <text>
        <t>[P] 需自设：最大可接受减速度</t>
      </text>
    </comment>
    <comment ref="T14" authorId="0" shapeId="0">
      <text>
        <t>[P] 需自设：最大可接受减速度</t>
      </text>
    </comment>
    <comment ref="U14" authorId="0" shapeId="0">
      <text>
        <t>数据里没有周围物体的 3D 轨迹，需先用 CV（3D 检测/单目深度）从画面重建，误差大</t>
      </text>
    </comment>
    <comment ref="V14" authorId="0" shapeId="0">
      <text>
        <t>数据里没有周围物体的 3D 轨迹，需先用 CV（3D 检测/单目深度）从画面重建，误差大</t>
      </text>
    </comment>
    <comment ref="W14" authorId="0" shapeId="0">
      <text>
        <t>[P] 需自设：最大可接受减速度</t>
      </text>
    </comment>
    <comment ref="E15" authorId="0" shapeId="0">
      <text>
        <t>[P] 需自设：反应时间、急刹减速度</t>
      </text>
    </comment>
    <comment ref="F15" authorId="0" shapeId="0">
      <text>
        <t>[P] 需自设：反应时间、急刹减速度</t>
      </text>
    </comment>
    <comment ref="G15" authorId="0" shapeId="0">
      <text>
        <t>[P] 需自设：反应时间、急刹减速度</t>
      </text>
    </comment>
    <comment ref="H15" authorId="0" shapeId="0">
      <text>
        <t>[P] 需自设：反应时间、急刹减速度</t>
      </text>
    </comment>
    <comment ref="I15" authorId="0" shapeId="0">
      <text>
        <t>[P] 需自设：反应时间、急刹减速度</t>
      </text>
    </comment>
    <comment ref="J15" authorId="0" shapeId="0">
      <text>
        <t>[P] 需自设：反应时间、急刹减速度</t>
      </text>
    </comment>
    <comment ref="K15" authorId="0" shapeId="0">
      <text>
        <t>[P] 需自设：反应时间、急刹减速度</t>
      </text>
    </comment>
    <comment ref="L15" authorId="0" shapeId="0">
      <text>
        <t>[P] 需自设：反应时间、急刹减速度</t>
      </text>
    </comment>
    <comment ref="M15" authorId="0" shapeId="0">
      <text>
        <t>[P] 需自设：反应时间、急刹减速度</t>
      </text>
    </comment>
    <comment ref="N15" authorId="0" shapeId="0">
      <text>
        <t>[P] 需自设：反应时间、急刹减速度</t>
      </text>
    </comment>
    <comment ref="O15" authorId="0" shapeId="0">
      <text>
        <t>[P] 需自设：反应时间、急刹减速度</t>
      </text>
    </comment>
    <comment ref="P15" authorId="0" shapeId="0">
      <text>
        <t>[C7] 前后车配对：没有高精地图，只能按几何位置判断是否同车道；[P] 需自设：反应时间、急刹减速度</t>
      </text>
    </comment>
    <comment ref="Q15" authorId="0" shapeId="0">
      <text>
        <t>[C7] 前后车配对：没有高精地图，只能按几何位置判断是否同车道；[P] 需自设：反应时间、急刹减速度</t>
      </text>
    </comment>
    <comment ref="R15" authorId="0" shapeId="0">
      <text>
        <t>[P] 需自设：反应时间、急刹减速度</t>
      </text>
    </comment>
    <comment ref="S15" authorId="0" shapeId="0">
      <text>
        <t>[P] 需自设：反应时间、急刹减速度</t>
      </text>
    </comment>
    <comment ref="T15" authorId="0" shapeId="0">
      <text>
        <t>[P] 需自设：反应时间、急刹减速度</t>
      </text>
    </comment>
    <comment ref="U15" authorId="0" shapeId="0">
      <text>
        <t>数据里没有周围物体的 3D 轨迹，需先用 CV（3D 检测/单目深度）从画面重建，误差大</t>
      </text>
    </comment>
    <comment ref="V15" authorId="0" shapeId="0">
      <text>
        <t>数据里没有周围物体的 3D 轨迹，需先用 CV（3D 检测/单目深度）从画面重建，误差大</t>
      </text>
    </comment>
    <comment ref="W15" authorId="0" shapeId="0">
      <text>
        <t>[P] 需自设：反应时间、急刹减速度</t>
      </text>
    </comment>
    <comment ref="E16" authorId="0" shapeId="0">
      <text>
        <t>[P] 需自设：安全时距（NHTSA 那篇用 1.4 秒）</t>
      </text>
    </comment>
    <comment ref="F16" authorId="0" shapeId="0">
      <text>
        <t>[P] 需自设：安全时距（NHTSA 那篇用 1.4 秒）</t>
      </text>
    </comment>
    <comment ref="G16" authorId="0" shapeId="0">
      <text>
        <t>[P] 需自设：安全时距（NHTSA 那篇用 1.4 秒）</t>
      </text>
    </comment>
    <comment ref="H16" authorId="0" shapeId="0">
      <text>
        <t>[P] 需自设：安全时距（NHTSA 那篇用 1.4 秒）</t>
      </text>
    </comment>
    <comment ref="I16" authorId="0" shapeId="0">
      <text>
        <t>[P] 需自设：安全时距（NHTSA 那篇用 1.4 秒）</t>
      </text>
    </comment>
    <comment ref="J16" authorId="0" shapeId="0">
      <text>
        <t>[P] 需自设：安全时距（NHTSA 那篇用 1.4 秒）</t>
      </text>
    </comment>
    <comment ref="K16" authorId="0" shapeId="0">
      <text>
        <t>[P] 需自设：安全时距（NHTSA 那篇用 1.4 秒）</t>
      </text>
    </comment>
    <comment ref="L16" authorId="0" shapeId="0">
      <text>
        <t>[P] 需自设：安全时距（NHTSA 那篇用 1.4 秒）</t>
      </text>
    </comment>
    <comment ref="M16" authorId="0" shapeId="0">
      <text>
        <t>[P] 需自设：安全时距（NHTSA 那篇用 1.4 秒）</t>
      </text>
    </comment>
    <comment ref="N16" authorId="0" shapeId="0">
      <text>
        <t>[P] 需自设：安全时距（NHTSA 那篇用 1.4 秒）</t>
      </text>
    </comment>
    <comment ref="O16" authorId="0" shapeId="0">
      <text>
        <t>[P] 需自设：安全时距（NHTSA 那篇用 1.4 秒）</t>
      </text>
    </comment>
    <comment ref="P16" authorId="0" shapeId="0">
      <text>
        <t>[C7] 前后车配对：没有高精地图，只能按几何位置判断是否同车道；[P] 需自设：安全时距（NHTSA 那篇用 1.4 秒）</t>
      </text>
    </comment>
    <comment ref="Q16" authorId="0" shapeId="0">
      <text>
        <t>[C7] 前后车配对：没有高精地图，只能按几何位置判断是否同车道；[P] 需自设：安全时距（NHTSA 那篇用 1.4 秒）</t>
      </text>
    </comment>
    <comment ref="R16" authorId="0" shapeId="0">
      <text>
        <t>[P] 需自设：安全时距（NHTSA 那篇用 1.4 秒）</t>
      </text>
    </comment>
    <comment ref="S16" authorId="0" shapeId="0">
      <text>
        <t>[P] 需自设：安全时距（NHTSA 那篇用 1.4 秒）</t>
      </text>
    </comment>
    <comment ref="T16" authorId="0" shapeId="0">
      <text>
        <t>[P] 需自设：安全时距（NHTSA 那篇用 1.4 秒）</t>
      </text>
    </comment>
    <comment ref="U16" authorId="0" shapeId="0">
      <text>
        <t>数据里没有周围物体的 3D 轨迹，需先用 CV（3D 检测/单目深度）从画面重建，误差大</t>
      </text>
    </comment>
    <comment ref="V16" authorId="0" shapeId="0">
      <text>
        <t>数据里没有周围物体的 3D 轨迹，需先用 CV（3D 检测/单目深度）从画面重建，误差大</t>
      </text>
    </comment>
    <comment ref="W16" authorId="0" shapeId="0">
      <text>
        <t>[P] 需自设：安全时距（NHTSA 那篇用 1.4 秒）</t>
      </text>
    </comment>
    <comment ref="E17" authorId="0" shapeId="0">
      <text>
        <t>[P] 需自设：车辆最大可用减速度的分布</t>
      </text>
    </comment>
    <comment ref="F17" authorId="0" shapeId="0">
      <text>
        <t>[P] 需自设：车辆最大可用减速度的分布</t>
      </text>
    </comment>
    <comment ref="G17" authorId="0" shapeId="0">
      <text>
        <t>[P] 需自设：车辆最大可用减速度的分布</t>
      </text>
    </comment>
    <comment ref="H17" authorId="0" shapeId="0">
      <text>
        <t>[P] 需自设：车辆最大可用减速度的分布</t>
      </text>
    </comment>
    <comment ref="I17" authorId="0" shapeId="0">
      <text>
        <t>[P] 需自设：车辆最大可用减速度的分布</t>
      </text>
    </comment>
    <comment ref="J17" authorId="0" shapeId="0">
      <text>
        <t>[P] 需自设：车辆最大可用减速度的分布</t>
      </text>
    </comment>
    <comment ref="K17" authorId="0" shapeId="0">
      <text>
        <t>[P] 需自设：车辆最大可用减速度的分布</t>
      </text>
    </comment>
    <comment ref="L17" authorId="0" shapeId="0">
      <text>
        <t>[P] 需自设：车辆最大可用减速度的分布</t>
      </text>
    </comment>
    <comment ref="M17" authorId="0" shapeId="0">
      <text>
        <t>[C8] 连续时间序列：累计量要先把 TTC 插值到更高频率；每段只有 20 秒；[P] 需自设：车辆最大可用减速度的分布</t>
      </text>
    </comment>
    <comment ref="N17" authorId="0" shapeId="0">
      <text>
        <t>[C5] 连续时间序列：每段较短；[P] 需自设：车辆最大可用减速度的分布</t>
      </text>
    </comment>
    <comment ref="O17" authorId="0" shapeId="0">
      <text>
        <t>[C5] 连续时间序列：每段 20 秒；[P] 需自设：车辆最大可用减速度的分布</t>
      </text>
    </comment>
    <comment ref="P17" authorId="0" shapeId="0">
      <text>
        <t>[C7] 前后车配对：没有高精地图，只能按几何位置判断是否同车道；[C5] 连续时间序列：序列较短；[P] 需自设：车辆最大可用减速度的分布</t>
      </text>
    </comment>
    <comment ref="Q17" authorId="0" shapeId="0">
      <text>
        <t>[C7] 前后车配对：没有高精地图，只能按几何位置判断是否同车道；[C5] 连续时间序列：每段只有 8 秒；[P] 需自设：车辆最大可用减速度的分布</t>
      </text>
    </comment>
    <comment ref="R17" authorId="0" shapeId="0">
      <text>
        <t>[P] 需自设：车辆最大可用减速度的分布</t>
      </text>
    </comment>
    <comment ref="S17" authorId="0" shapeId="0">
      <text>
        <t>[C5] 连续时间序列：每个场景较短；[P] 需自设：车辆最大可用减速度的分布</t>
      </text>
    </comment>
    <comment ref="T17" authorId="0" shapeId="0">
      <text>
        <t>[P] 需自设：车辆最大可用减速度的分布</t>
      </text>
    </comment>
    <comment ref="U17" authorId="0" shapeId="0">
      <text>
        <t>数据里没有周围物体的 3D 轨迹，需先用 CV（3D 检测/单目深度）从画面重建，误差大</t>
      </text>
    </comment>
    <comment ref="V17" authorId="0" shapeId="0">
      <text>
        <t>数据里没有周围物体的 3D 轨迹，需先用 CV（3D 检测/单目深度）从画面重建，误差大</t>
      </text>
    </comment>
    <comment ref="W17" authorId="0" shapeId="0">
      <text>
        <t>[P] 需自设：车辆最大可用减速度的分布</t>
      </text>
    </comment>
    <comment ref="E18" authorId="0" shapeId="0">
      <text>
        <t>[P] 需自设：反应时间、减速度</t>
      </text>
    </comment>
    <comment ref="F18" authorId="0" shapeId="0">
      <text>
        <t>[P] 需自设：反应时间、减速度</t>
      </text>
    </comment>
    <comment ref="G18" authorId="0" shapeId="0">
      <text>
        <t>[P] 需自设：反应时间、减速度</t>
      </text>
    </comment>
    <comment ref="H18" authorId="0" shapeId="0">
      <text>
        <t>[P] 需自设：反应时间、减速度</t>
      </text>
    </comment>
    <comment ref="I18" authorId="0" shapeId="0">
      <text>
        <t>[P] 需自设：反应时间、减速度</t>
      </text>
    </comment>
    <comment ref="J18" authorId="0" shapeId="0">
      <text>
        <t>[P] 需自设：反应时间、减速度</t>
      </text>
    </comment>
    <comment ref="K18" authorId="0" shapeId="0">
      <text>
        <t>[P] 需自设：反应时间、减速度</t>
      </text>
    </comment>
    <comment ref="L18" authorId="0" shapeId="0">
      <text>
        <t>[P] 需自设：反应时间、减速度</t>
      </text>
    </comment>
    <comment ref="M18" authorId="0" shapeId="0">
      <text>
        <t>[P] 需自设：反应时间、减速度</t>
      </text>
    </comment>
    <comment ref="N18" authorId="0" shapeId="0">
      <text>
        <t>[P] 需自设：反应时间、减速度</t>
      </text>
    </comment>
    <comment ref="O18" authorId="0" shapeId="0">
      <text>
        <t>[P] 需自设：反应时间、减速度</t>
      </text>
    </comment>
    <comment ref="P18" authorId="0" shapeId="0">
      <text>
        <t>[C7] 前后车配对：没有高精地图，只能按几何位置判断是否同车道；[P] 需自设：反应时间、减速度</t>
      </text>
    </comment>
    <comment ref="Q18" authorId="0" shapeId="0">
      <text>
        <t>[C7] 前后车配对：没有高精地图，只能按几何位置判断是否同车道；[P] 需自设：反应时间、减速度</t>
      </text>
    </comment>
    <comment ref="R18" authorId="0" shapeId="0">
      <text>
        <t>[P] 需自设：反应时间、减速度</t>
      </text>
    </comment>
    <comment ref="S18" authorId="0" shapeId="0">
      <text>
        <t>[P] 需自设：反应时间、减速度</t>
      </text>
    </comment>
    <comment ref="T18" authorId="0" shapeId="0">
      <text>
        <t>[P] 需自设：反应时间、减速度</t>
      </text>
    </comment>
    <comment ref="U18" authorId="0" shapeId="0">
      <text>
        <t>数据里没有周围物体的 3D 轨迹，需先用 CV（3D 检测/单目深度）从画面重建，误差大</t>
      </text>
    </comment>
    <comment ref="V18" authorId="0" shapeId="0">
      <text>
        <t>数据里没有周围物体的 3D 轨迹，需先用 CV（3D 检测/单目深度）从画面重建，误差大</t>
      </text>
    </comment>
    <comment ref="W18" authorId="0" shapeId="0">
      <text>
        <t>[P] 需自设：反应时间、减速度</t>
      </text>
    </comment>
    <comment ref="E19" authorId="0" shapeId="0">
      <text>
        <t>[P] 需自设：最大减速度</t>
      </text>
    </comment>
    <comment ref="F19" authorId="0" shapeId="0">
      <text>
        <t>[P] 需自设：最大减速度</t>
      </text>
    </comment>
    <comment ref="G19" authorId="0" shapeId="0">
      <text>
        <t>[P] 需自设：最大减速度</t>
      </text>
    </comment>
    <comment ref="H19" authorId="0" shapeId="0">
      <text>
        <t>[P] 需自设：最大减速度</t>
      </text>
    </comment>
    <comment ref="I19" authorId="0" shapeId="0">
      <text>
        <t>[P] 需自设：最大减速度</t>
      </text>
    </comment>
    <comment ref="J19" authorId="0" shapeId="0">
      <text>
        <t>[P] 需自设：最大减速度</t>
      </text>
    </comment>
    <comment ref="K19" authorId="0" shapeId="0">
      <text>
        <t>[P] 需自设：最大减速度</t>
      </text>
    </comment>
    <comment ref="L19" authorId="0" shapeId="0">
      <text>
        <t>[P] 需自设：最大减速度</t>
      </text>
    </comment>
    <comment ref="M19" authorId="0" shapeId="0">
      <text>
        <t>[P] 需自设：最大减速度</t>
      </text>
    </comment>
    <comment ref="N19" authorId="0" shapeId="0">
      <text>
        <t>[P] 需自设：最大减速度</t>
      </text>
    </comment>
    <comment ref="O19" authorId="0" shapeId="0">
      <text>
        <t>[P] 需自设：最大减速度</t>
      </text>
    </comment>
    <comment ref="P19" authorId="0" shapeId="0">
      <text>
        <t>[C7] 前后车配对：没有高精地图，只能按几何位置判断是否同车道；[P] 需自设：最大减速度</t>
      </text>
    </comment>
    <comment ref="Q19" authorId="0" shapeId="0">
      <text>
        <t>[C7] 前后车配对：没有高精地图，只能按几何位置判断是否同车道；[P] 需自设：最大减速度</t>
      </text>
    </comment>
    <comment ref="R19" authorId="0" shapeId="0">
      <text>
        <t>[P] 需自设：最大减速度</t>
      </text>
    </comment>
    <comment ref="S19" authorId="0" shapeId="0">
      <text>
        <t>[P] 需自设：最大减速度</t>
      </text>
    </comment>
    <comment ref="T19" authorId="0" shapeId="0">
      <text>
        <t>[P] 需自设：最大减速度</t>
      </text>
    </comment>
    <comment ref="U19" authorId="0" shapeId="0">
      <text>
        <t>数据里没有周围物体的 3D 轨迹，需先用 CV（3D 检测/单目深度）从画面重建，误差大</t>
      </text>
    </comment>
    <comment ref="V19" authorId="0" shapeId="0">
      <text>
        <t>数据里没有周围物体的 3D 轨迹，需先用 CV（3D 检测/单目深度）从画面重建，误差大</t>
      </text>
    </comment>
    <comment ref="W19" authorId="0" shapeId="0">
      <text>
        <t>[P] 需自设：最大减速度</t>
      </text>
    </comment>
    <comment ref="E20" authorId="0" shapeId="0">
      <text>
        <t>[P] 需自设：最大横向加速度</t>
      </text>
    </comment>
    <comment ref="F20" authorId="0" shapeId="0">
      <text>
        <t>[C3] 带朝向外框：有长宽但没有朝向，需由位置变化推算；[P] 需自设：最大横向加速度</t>
      </text>
    </comment>
    <comment ref="G20" authorId="0" shapeId="0">
      <text>
        <t>[C3] 带朝向外框：外框与车道平行，朝向需由速度推算；横向交互只有变道；[P] 需自设：最大横向加速度</t>
      </text>
    </comment>
    <comment ref="H20" authorId="0" shapeId="0">
      <text>
        <t>[P] 需自设：最大横向加速度</t>
      </text>
    </comment>
    <comment ref="I20" authorId="0" shapeId="0">
      <text>
        <t>[P] 需自设：最大横向加速度</t>
      </text>
    </comment>
    <comment ref="J20" authorId="0" shapeId="0">
      <text>
        <t>[P] 需自设：最大横向加速度</t>
      </text>
    </comment>
    <comment ref="K20" authorId="0" shapeId="0">
      <text>
        <t>[P] 需自设：最大横向加速度</t>
      </text>
    </comment>
    <comment ref="L20" authorId="0" shapeId="0">
      <text>
        <t>[C3] 带朝向外框：是否提供朝向未核实，可能需由位置推算；[P] 需自设：最大横向加速度</t>
      </text>
    </comment>
    <comment ref="M20" authorId="0" shapeId="0">
      <text>
        <t>[P] 需自设：最大横向加速度</t>
      </text>
    </comment>
    <comment ref="N20" authorId="0" shapeId="0">
      <text>
        <t>[P] 需自设：最大横向加速度</t>
      </text>
    </comment>
    <comment ref="O20" authorId="0" shapeId="0">
      <text>
        <t>[P] 需自设：最大横向加速度</t>
      </text>
    </comment>
    <comment ref="P20" authorId="0" shapeId="0">
      <text>
        <t>[P] 需自设：最大横向加速度</t>
      </text>
    </comment>
    <comment ref="Q20" authorId="0" shapeId="0">
      <text>
        <t>[P] 需自设：最大横向加速度</t>
      </text>
    </comment>
    <comment ref="R20" authorId="0" shapeId="0">
      <text>
        <t>[P] 需自设：最大横向加速度</t>
      </text>
    </comment>
    <comment ref="S20" authorId="0" shapeId="0">
      <text>
        <t>[P] 需自设：最大横向加速度</t>
      </text>
    </comment>
    <comment ref="T20" authorId="0" shapeId="0">
      <text>
        <t>[P] 需自设：最大横向加速度</t>
      </text>
    </comment>
    <comment ref="U20" authorId="0" shapeId="0">
      <text>
        <t>数据里没有周围物体的 3D 轨迹，需先用 CV（3D 检测/单目深度）从画面重建，误差大</t>
      </text>
    </comment>
    <comment ref="V20" authorId="0" shapeId="0">
      <text>
        <t>数据里没有周围物体的 3D 轨迹，需先用 CV（3D 检测/单目深度）从画面重建，误差大</t>
      </text>
    </comment>
    <comment ref="W20" authorId="0" shapeId="0">
      <text>
        <t>[缺数据] 带朝向外框：没有周围车的外框和横向信息</t>
      </text>
    </comment>
    <comment ref="E21" authorId="0" shapeId="0">
      <text>
        <t>[C1] 加速度：没有加速度字段，要由速度（30 Hz）差分并平滑</t>
      </text>
    </comment>
    <comment ref="F21" authorId="0" shapeId="0">
      <text>
        <t>[C1] 加速度：官方加速度噪声大，需先平滑（或用他人重构的轨迹）</t>
      </text>
    </comment>
    <comment ref="K21" authorId="0" shapeId="0">
      <text>
        <t>[C1] 加速度：没有加速度字段，需由速度（10 Hz）差分</t>
      </text>
    </comment>
    <comment ref="L21" authorId="0" shapeId="0">
      <text>
        <t>[C1] 加速度：是否直接提供加速度未核实，可能需自己差分</t>
      </text>
    </comment>
    <comment ref="M21" authorId="0" shapeId="0">
      <text>
        <t>[C1] 加速度：其他车的加速度要由 2 Hz 标注二次差分，误差大，也看不出刹车从哪一刻开始；自车加速度用 CAN 总线（IMU 100 Hz）</t>
      </text>
    </comment>
    <comment ref="N21" authorId="0" shapeId="0">
      <text>
        <t>[C1] 加速度：其他车加速度要由 3D 框二次差分并平滑；自车可用位姿</t>
      </text>
    </comment>
    <comment ref="P21" authorId="0" shapeId="0">
      <text>
        <t>[C7] 前后车配对：没有高精地图，只能按几何位置判断是否同车道；[C1] 加速度：其他车需差分平滑；自车由 GPS/IMU 直接给</t>
      </text>
    </comment>
    <comment ref="Q21" authorId="0" shapeId="0">
      <text>
        <t>[C7] 前后车配对：没有高精地图，只能按几何位置判断是否同车道；[C1] 加速度：其他车需差分平滑</t>
      </text>
    </comment>
    <comment ref="R21" authorId="0" shapeId="0">
      <text>
        <t>[C1] 加速度：20 Hz 自动标注轨迹，需平滑</t>
      </text>
    </comment>
    <comment ref="S21" authorId="0" shapeId="0">
      <text>
        <t>[C1] 加速度：需差分平滑</t>
      </text>
    </comment>
    <comment ref="U21" authorId="0" shapeId="0">
      <text>
        <t>数据里没有周围物体的 3D 轨迹，需先用 CV（3D 检测/单目深度）从画面重建，误差大</t>
      </text>
    </comment>
    <comment ref="V21" authorId="0" shapeId="0">
      <text>
        <t>数据里没有周围物体的 3D 轨迹，需先用 CV（3D 检测/单目深度）从画面重建，误差大</t>
      </text>
    </comment>
    <comment ref="W21" authorId="0" shapeId="0">
      <text>
        <t>[C1] 加速度：前车加速度需由相对速度差分</t>
      </text>
    </comment>
    <comment ref="G22" authorId="0" shapeId="0">
      <text>
        <t>[C4] 交叉冲突：没有路口，只有变道和汇入</t>
      </text>
    </comment>
    <comment ref="M22" authorId="0" shapeId="0">
      <text>
        <t>[C8] 交叉冲突：经过冲突区的时刻只精确到 0.5 秒，需插值；每段只有 20 秒，两车都要在段内经过冲突点</t>
      </text>
    </comment>
    <comment ref="N22" authorId="0" shapeId="0">
      <text>
        <t>[C4] 交叉冲突：每段较短，冲突点要在段内</t>
      </text>
    </comment>
    <comment ref="O22" authorId="0" shapeId="0">
      <text>
        <t>[C4] 交叉冲突：每段 20 秒，冲突点要在段内</t>
      </text>
    </comment>
    <comment ref="P22" authorId="0" shapeId="0">
      <text>
        <t>[C4] 交叉冲突：序列短、路口少</t>
      </text>
    </comment>
    <comment ref="Q22" authorId="0" shapeId="0">
      <text>
        <t>[C4] 交叉冲突：每段只有 8 秒</t>
      </text>
    </comment>
    <comment ref="U22" authorId="0" shapeId="0">
      <text>
        <t>数据里没有周围物体的 3D 轨迹，需先用 CV（3D 检测/单目深度）从画面重建，误差大</t>
      </text>
    </comment>
    <comment ref="V22" authorId="0" shapeId="0">
      <text>
        <t>数据里没有周围物体的 3D 轨迹，需先用 CV（3D 检测/单目深度）从画面重建，误差大</t>
      </text>
    </comment>
    <comment ref="W22" authorId="0" shapeId="0">
      <text>
        <t>[缺数据] 交叉冲突：只有前车，没有交叉冲突</t>
      </text>
    </comment>
    <comment ref="F23" authorId="0" shapeId="0">
      <text>
        <t>[C3] 带朝向外框：有长宽但没有朝向，需由位置变化推算</t>
      </text>
    </comment>
    <comment ref="G23" authorId="0" shapeId="0">
      <text>
        <t>[C3] 带朝向外框：外框与车道平行，朝向需由速度推算；横向交互只有变道</t>
      </text>
    </comment>
    <comment ref="L23" authorId="0" shapeId="0">
      <text>
        <t>[C3] 带朝向外框：是否提供朝向未核实，可能需由位置推算</t>
      </text>
    </comment>
    <comment ref="U23" authorId="0" shapeId="0">
      <text>
        <t>数据里没有周围物体的 3D 轨迹，需先用 CV（3D 检测/单目深度）从画面重建，误差大</t>
      </text>
    </comment>
    <comment ref="V23" authorId="0" shapeId="0">
      <text>
        <t>数据里没有周围物体的 3D 轨迹，需先用 CV（3D 检测/单目深度）从画面重建，误差大</t>
      </text>
    </comment>
    <comment ref="W23" authorId="0" shapeId="0">
      <text>
        <t>[缺数据] 带朝向外框：没有周围车的外框和横向信息</t>
      </text>
    </comment>
    <comment ref="E24" authorId="0" shapeId="0">
      <text>
        <t>[C6] 车型/质量：没有车型字段，要按外框尺寸估车型和质量；[P] 需自设：车辆质量（按车型取典型值）</t>
      </text>
    </comment>
    <comment ref="F24" authorId="0" shapeId="0">
      <text>
        <t>[P] 需自设：车辆质量（按车型取典型值）</t>
      </text>
    </comment>
    <comment ref="G24" authorId="0" shapeId="0">
      <text>
        <t>[P] 需自设：车辆质量（按车型取典型值）</t>
      </text>
    </comment>
    <comment ref="H24" authorId="0" shapeId="0">
      <text>
        <t>[P] 需自设：车辆质量（按车型取典型值）</t>
      </text>
    </comment>
    <comment ref="I24" authorId="0" shapeId="0">
      <text>
        <t>[P] 需自设：车辆质量（按车型取典型值）</t>
      </text>
    </comment>
    <comment ref="J24" authorId="0" shapeId="0">
      <text>
        <t>[P] 需自设：车辆质量（按车型取典型值）</t>
      </text>
    </comment>
    <comment ref="K24" authorId="0" shapeId="0">
      <text>
        <t>[C6] 车型/质量：只区分机动车与行人/自行车，不区分货车；[P] 需自设：车辆质量（按车型取典型值）</t>
      </text>
    </comment>
    <comment ref="L24" authorId="0" shapeId="0">
      <text>
        <t>[P] 需自设：车辆质量（按车型取典型值）</t>
      </text>
    </comment>
    <comment ref="M24" authorId="0" shapeId="0">
      <text>
        <t>[P] 需自设：车辆质量（按车型取典型值）</t>
      </text>
    </comment>
    <comment ref="N24" authorId="0" shapeId="0">
      <text>
        <t>[P] 需自设：车辆质量（按车型取典型值）</t>
      </text>
    </comment>
    <comment ref="O24" authorId="0" shapeId="0">
      <text>
        <t>[C6] 车型/质量：只有车辆、行人、骑车人、标志四类，不区分货车，要按外框尺寸估质量；[P] 需自设：车辆质量（按车型取典型值）</t>
      </text>
    </comment>
    <comment ref="P24" authorId="0" shapeId="0">
      <text>
        <t>[P] 需自设：车辆质量（按车型取典型值）</t>
      </text>
    </comment>
    <comment ref="Q24" authorId="0" shapeId="0">
      <text>
        <t>[P] 需自设：车辆质量（按车型取典型值）</t>
      </text>
    </comment>
    <comment ref="R24" authorId="0" shapeId="0">
      <text>
        <t>[C6] 车型/质量：物体类别只有"车辆"，不区分轿车和货车，要按外框尺寸估质量；[P] 需自设：车辆质量（按车型取典型值）</t>
      </text>
    </comment>
    <comment ref="S24" authorId="0" shapeId="0">
      <text>
        <t>[C6] 车型/质量：只分车辆、行人、骑车人，不区分货车；[P] 需自设：车辆质量（按车型取典型值）</t>
      </text>
    </comment>
    <comment ref="T24" authorId="0" shapeId="0">
      <text>
        <t>[P] 需自设：车辆质量（按车型取典型值）</t>
      </text>
    </comment>
    <comment ref="U24" authorId="0" shapeId="0">
      <text>
        <t>数据里没有周围物体的 3D 轨迹，需先用 CV（3D 检测/单目深度）从画面重建，误差大</t>
      </text>
    </comment>
    <comment ref="V24" authorId="0" shapeId="0">
      <text>
        <t>数据里没有周围物体的 3D 轨迹，需先用 CV（3D 检测/单目深度）从画面重建，误差大</t>
      </text>
    </comment>
    <comment ref="W24" authorId="0" shapeId="0">
      <text>
        <t>[C6] 车型/质量：前车车型未知，按小汽车估质量；[P] 需自设：车辆质量（按车型取典型值）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tabSelected="1" workbookViewId="0">
      <selection activeCell="A1" sqref="A1:B1"/>
    </sheetView>
  </sheetViews>
  <sheetFormatPr baseColWidth="8" defaultRowHeight="14.15"/>
  <cols>
    <col width="6" customWidth="1" style="26" min="1" max="1"/>
    <col width="110" customWidth="1" style="26" min="2" max="2"/>
  </cols>
  <sheetData>
    <row r="1">
      <c r="A1" s="25" t="inlineStr">
        <is>
          <t>SSM 指标 × 开放数据集 对照表（2026-10-07 整理）</t>
        </is>
      </c>
    </row>
    <row r="2"/>
    <row r="3">
      <c r="A3" s="1" t="inlineStr">
        <is>
          <t>符号</t>
        </is>
      </c>
      <c r="B3" s="1" t="inlineStr">
        <is>
          <t>含义</t>
        </is>
      </c>
    </row>
    <row r="4">
      <c r="A4" s="2" t="inlineStr">
        <is>
          <t>✓</t>
        </is>
      </c>
      <c r="B4" s="3" t="inlineStr">
        <is>
          <t>数据够，而且公式里没有需要人为设定的数值，可以直接算</t>
        </is>
      </c>
    </row>
    <row r="5">
      <c r="A5" s="4" t="inlineStr">
        <is>
          <t>◐</t>
        </is>
      </c>
      <c r="B5" s="3" t="inlineStr">
        <is>
          <t>数据够，但要自己设定参数或阈值（反应时间、最大减速度、TTC 阈值、车辆质量等），结果会随设定变化；要设什么见"需自设什么"一列</t>
        </is>
      </c>
    </row>
    <row r="6">
      <c r="A6" s="5" t="inlineStr">
        <is>
          <t>△</t>
        </is>
      </c>
      <c r="B6" s="3" t="inlineStr">
        <is>
          <t>能算，但有条件：条件分 C1、C3–C8 七类（原来的 C2、C9 随 TA、CS 一起删掉了，其余编号不变），见"△条件汇总"表；每个格子的具体原因见批注或"条件明细"表</t>
        </is>
      </c>
    </row>
    <row r="7">
      <c r="A7" s="6" t="inlineStr">
        <is>
          <t>≈</t>
        </is>
      </c>
      <c r="B7" s="3" t="inlineStr">
        <is>
          <t>只能从画面近似，例如用目标在画面里变大的速度估 TTC，不需要真实距离</t>
        </is>
      </c>
    </row>
    <row r="8">
      <c r="A8" s="7" t="inlineStr">
        <is>
          <t>◇</t>
        </is>
      </c>
      <c r="B8" s="3" t="inlineStr">
        <is>
          <t>数据里没有周围物体的 3D 轨迹，要先用 CV（3D 检测、单目深度估计）从画面重建才能算，误差大</t>
        </is>
      </c>
    </row>
    <row r="9">
      <c r="A9" s="8" t="inlineStr">
        <is>
          <t>✗</t>
        </is>
      </c>
      <c r="B9" s="3" t="inlineStr">
        <is>
          <t>缺少必要数据，算不了</t>
        </is>
      </c>
    </row>
    <row r="10"/>
    <row r="11" ht="24.9" customHeight="1" s="26">
      <c r="A11" s="9" t="inlineStr">
        <is>
          <t>通用说明</t>
        </is>
      </c>
    </row>
    <row r="12" ht="24.9" customHeight="1" s="26">
      <c r="A12" s="33" t="n"/>
      <c r="B12" s="33" t="inlineStr">
        <is>
          <t>1. ◐ 和"需自设什么"一列：反应时间、最大减速度、TTC 阈值、车辆质量等数值，所有数据集都不提供，需要自己设定、在论文里写明，最好再做敏感性分析。例如 NHTSA 那篇论文（arXiv 2306.14657）里，RSS 的反应时间设成 1.924 秒时，判为"不安全"的状态明显偏多。（RSS 后来已从本表删除。）</t>
        </is>
      </c>
    </row>
    <row r="13">
      <c r="A13" s="33" t="n"/>
      <c r="B13" s="33" t="inlineStr">
        <is>
          <t>2. delta-V 需要质量：数据集一般只给车型，按车型取典型质量。</t>
        </is>
      </c>
    </row>
    <row r="14">
      <c r="A14" s="33" t="n"/>
      <c r="B14" s="33" t="inlineStr">
        <is>
          <t>3. 2026-10-13 删掉了 TA 和 CS：它们要先判断"谁在避让"，轨迹数据只能看到减速或打方向，看不出是不是为了避让。想同时从"时间"和"速度"两方面看严重程度时，可以用整段里最小的 TTC（或 2D-TTC）和那一刻的车速代替。</t>
        </is>
      </c>
    </row>
    <row r="15">
      <c r="A15" s="33" t="n"/>
      <c r="B15" s="33" t="inlineStr">
        <is>
          <t>4. 自车视角数据集里的 3D 框在自车坐标系下，需要先用每帧的自车位姿转到世界坐标系；只能看到传感器范围内、没被遮挡的物体。</t>
        </is>
      </c>
    </row>
    <row r="16">
      <c r="A16" s="33" t="n"/>
      <c r="B16" s="33" t="inlineStr">
        <is>
          <t>5. 大多数数据集是正常驾驶，危险场景少，算出的指标值大多落在"安全"范围；"危险场景"一行是大致判断。</t>
        </is>
      </c>
    </row>
    <row r="17">
      <c r="A17" s="33" t="n"/>
      <c r="B17" s="33" t="inlineStr">
        <is>
          <t>6. 判断依据：各数据集论文、官网和第三方文档里的字段说明。写了"未核实/未确认"的地方，使用前请再确认。</t>
        </is>
      </c>
    </row>
    <row r="18">
      <c r="A18" s="33" t="n"/>
      <c r="B18" s="33" t="inlineStr">
        <is>
          <t>7. 获取方式、许可和链接见"数据集信息"表；每个指标需要哪些数据见"指标所需数据"表。</t>
        </is>
      </c>
    </row>
    <row r="19">
      <c r="B19" s="34" t="inlineStr">
        <is>
          <t>8. 2026-10-13 新增"按指标类型分类""按碰撞类型分类"两张表：每个指标的公式、含义、参数、单位、方向和出处，另含间距、速度、加速度等原始运动学量；同时更正了 Waymo 感知一列（物体自带速度和加速度，MTTC、CI 改为 ✓）。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style="26" min="1" max="1"/>
    <col width="14" customWidth="1" style="26" min="2" max="2"/>
    <col width="26" customWidth="1" style="26" min="3" max="3"/>
    <col width="52" customWidth="1" style="26" min="4" max="4"/>
    <col width="40" customWidth="1" style="26" min="5" max="5"/>
    <col width="22" customWidth="1" style="26" min="6" max="6"/>
    <col width="26" customWidth="1" style="26" min="7" max="7"/>
    <col width="9" customWidth="1" style="26" min="8" max="8"/>
    <col width="14" customWidth="1" style="26" min="9" max="9"/>
    <col width="8" customWidth="1" style="26" min="10" max="10"/>
    <col width="8" customWidth="1" style="26" min="11" max="11"/>
    <col width="8" customWidth="1" style="26" min="12" max="12"/>
    <col width="9" customWidth="1" style="26" min="13" max="13"/>
    <col width="8" customWidth="1" style="26" min="14" max="14"/>
    <col width="26" customWidth="1" style="26" min="15" max="15"/>
  </cols>
  <sheetData>
    <row r="1">
      <c r="A1" s="35" t="inlineStr">
        <is>
          <t>SSM 按指标类型分类（含原始运动学量），每行标注适用的碰撞类型</t>
        </is>
      </c>
    </row>
    <row r="2" ht="42" customHeight="1" s="26">
      <c r="A2" s="36" t="inlineStr">
        <is>
          <t>记号：后车 F（通常是自车）、前车 L；d = 间距（后车车头到前车车尾）；v = 速度；Δv = v_F − v_L 接近速度（大于 0 表示在靠近）；a = 加速度；Δa = a_F − a_L；τ、ρ = 反应时间；a_max = 最大刹车减速度（取正数）；W = 车宽；L = 车长；δ = 两车外框最短距离；Δt = 时间步长；μ = 路面摩擦系数；g = 重力加速度</t>
        </is>
      </c>
    </row>
    <row r="3">
      <c r="A3" s="36" t="inlineStr">
        <is>
          <t>碰撞类型：● 主要适用（为这类冲突设计或最常用）　○ 可以用（需要扩展，或不是主要用途）　空白 = 不适用</t>
        </is>
      </c>
    </row>
    <row r="4"/>
    <row r="5">
      <c r="A5" s="37" t="inlineStr">
        <is>
          <t>指标类型</t>
        </is>
      </c>
      <c r="B5" s="37" t="inlineStr">
        <is>
          <t>指标</t>
        </is>
      </c>
      <c r="C5" s="37" t="inlineStr">
        <is>
          <t>全称</t>
        </is>
      </c>
      <c r="D5" s="37" t="inlineStr">
        <is>
          <t>公式</t>
        </is>
      </c>
      <c r="E5" s="37" t="inlineStr">
        <is>
          <t>公式含义</t>
        </is>
      </c>
      <c r="F5" s="37" t="inlineStr">
        <is>
          <t>输入数据</t>
        </is>
      </c>
      <c r="G5" s="37" t="inlineStr">
        <is>
          <t>需要自设的参数</t>
        </is>
      </c>
      <c r="H5" s="37" t="inlineStr">
        <is>
          <t>单位</t>
        </is>
      </c>
      <c r="I5" s="37" t="inlineStr">
        <is>
          <t>方向</t>
        </is>
      </c>
      <c r="J5" s="37" t="inlineStr">
        <is>
          <t>追尾/跟车</t>
        </is>
      </c>
      <c r="K5" s="37" t="inlineStr">
        <is>
          <t>变道/侧刮</t>
        </is>
      </c>
      <c r="L5" s="37" t="inlineStr">
        <is>
          <t>交叉/转弯</t>
        </is>
      </c>
      <c r="M5" s="37" t="inlineStr">
        <is>
          <t>行人/非机动车</t>
        </is>
      </c>
      <c r="N5" s="37" t="inlineStr">
        <is>
          <t>对向/正面</t>
        </is>
      </c>
      <c r="O5" s="37" t="inlineStr">
        <is>
          <t>出处</t>
        </is>
      </c>
    </row>
    <row r="6">
      <c r="A6" s="38" t="inlineStr">
        <is>
          <t>原始运动学量</t>
        </is>
      </c>
      <c r="B6" s="39" t="inlineStr">
        <is>
          <t>间距 d</t>
        </is>
      </c>
      <c r="C6" s="40" t="inlineStr">
        <is>
          <t>longitudinal gap</t>
        </is>
      </c>
      <c r="D6" s="41" t="inlineStr">
        <is>
          <t>d = 前车车尾纵向位置 − 后车车头纵向位置</t>
        </is>
      </c>
      <c r="E6" s="40" t="inlineStr">
        <is>
          <t>沿行驶方向两车之间还隔多远；最基础的接近程度指标</t>
        </is>
      </c>
      <c r="F6" s="40" t="inlineStr">
        <is>
          <t>两车位置、车长、行驶方向</t>
        </is>
      </c>
      <c r="G6" s="40" t="inlineStr">
        <is>
          <t>—</t>
        </is>
      </c>
      <c r="H6" s="40" t="inlineStr">
        <is>
          <t>m</t>
        </is>
      </c>
      <c r="I6" s="40" t="inlineStr">
        <is>
          <t>越小越危险</t>
        </is>
      </c>
      <c r="J6" s="42" t="inlineStr">
        <is>
          <t>●</t>
        </is>
      </c>
      <c r="K6" s="42" t="inlineStr">
        <is>
          <t>○</t>
        </is>
      </c>
      <c r="L6" s="42" t="inlineStr"/>
      <c r="M6" s="42" t="inlineStr"/>
      <c r="N6" s="42" t="inlineStr">
        <is>
          <t>○</t>
        </is>
      </c>
      <c r="O6" s="40" t="inlineStr">
        <is>
          <t>—</t>
        </is>
      </c>
    </row>
    <row r="7">
      <c r="A7" s="38" t="inlineStr">
        <is>
          <t>原始运动学量</t>
        </is>
      </c>
      <c r="B7" s="39" t="inlineStr">
        <is>
          <t>最近距离 δ</t>
        </is>
      </c>
      <c r="C7" s="40" t="inlineStr">
        <is>
          <t>minimum (2D) distance</t>
        </is>
      </c>
      <c r="D7" s="41" t="inlineStr">
        <is>
          <t>δ = 两车外框（矩形）之间的最短距离</t>
        </is>
      </c>
      <c r="E7" s="40" t="inlineStr">
        <is>
          <t>不分方向，两车车身最近的地方隔多远</t>
        </is>
      </c>
      <c r="F7" s="40" t="inlineStr">
        <is>
          <t>两车位置、长宽、朝向</t>
        </is>
      </c>
      <c r="G7" s="40" t="inlineStr">
        <is>
          <t>—</t>
        </is>
      </c>
      <c r="H7" s="40" t="inlineStr">
        <is>
          <t>m</t>
        </is>
      </c>
      <c r="I7" s="40" t="inlineStr">
        <is>
          <t>越小越危险</t>
        </is>
      </c>
      <c r="J7" s="42" t="inlineStr">
        <is>
          <t>●</t>
        </is>
      </c>
      <c r="K7" s="42" t="inlineStr">
        <is>
          <t>●</t>
        </is>
      </c>
      <c r="L7" s="42" t="inlineStr">
        <is>
          <t>●</t>
        </is>
      </c>
      <c r="M7" s="42" t="inlineStr">
        <is>
          <t>●</t>
        </is>
      </c>
      <c r="N7" s="42" t="inlineStr">
        <is>
          <t>●</t>
        </is>
      </c>
      <c r="O7" s="40" t="inlineStr">
        <is>
          <t>—</t>
        </is>
      </c>
    </row>
    <row r="8">
      <c r="A8" s="38" t="inlineStr">
        <is>
          <t>原始运动学量</t>
        </is>
      </c>
      <c r="B8" s="39" t="inlineStr">
        <is>
          <t>横向间距</t>
        </is>
      </c>
      <c r="C8" s="40" t="inlineStr">
        <is>
          <t>lateral clearance</t>
        </is>
      </c>
      <c r="D8" s="41" t="inlineStr">
        <is>
          <t>横向间距 = |横向偏移| − (W_F + W_L) ÷ 2</t>
        </is>
      </c>
      <c r="E8" s="40" t="inlineStr">
        <is>
          <t>并排时两车侧面之间隔多远；负数表示横向已经重叠</t>
        </is>
      </c>
      <c r="F8" s="40" t="inlineStr">
        <is>
          <t>两车位置、车宽、行驶方向</t>
        </is>
      </c>
      <c r="G8" s="40" t="inlineStr">
        <is>
          <t>—</t>
        </is>
      </c>
      <c r="H8" s="40" t="inlineStr">
        <is>
          <t>m</t>
        </is>
      </c>
      <c r="I8" s="40" t="inlineStr">
        <is>
          <t>越小越危险</t>
        </is>
      </c>
      <c r="J8" s="42" t="inlineStr"/>
      <c r="K8" s="42" t="inlineStr">
        <is>
          <t>●</t>
        </is>
      </c>
      <c r="L8" s="42" t="inlineStr"/>
      <c r="M8" s="42" t="inlineStr">
        <is>
          <t>○</t>
        </is>
      </c>
      <c r="N8" s="42" t="inlineStr">
        <is>
          <t>○</t>
        </is>
      </c>
      <c r="O8" s="40" t="inlineStr">
        <is>
          <t>—</t>
        </is>
      </c>
    </row>
    <row r="9">
      <c r="A9" s="38" t="inlineStr">
        <is>
          <t>原始运动学量</t>
        </is>
      </c>
      <c r="B9" s="39" t="inlineStr">
        <is>
          <t>速度 v</t>
        </is>
      </c>
      <c r="C9" s="40" t="inlineStr">
        <is>
          <t>speed</t>
        </is>
      </c>
      <c r="D9" s="41" t="inlineStr">
        <is>
          <t>v = √(v_x² + v_y²)</t>
        </is>
      </c>
      <c r="E9" s="40" t="inlineStr">
        <is>
          <t>车开多快；本身不是冲突指标，但决定一旦碰撞有多严重</t>
        </is>
      </c>
      <c r="F9" s="40" t="inlineStr">
        <is>
          <t>速度向量</t>
        </is>
      </c>
      <c r="G9" s="40" t="inlineStr">
        <is>
          <t>—</t>
        </is>
      </c>
      <c r="H9" s="40" t="inlineStr">
        <is>
          <t>m/s</t>
        </is>
      </c>
      <c r="I9" s="40" t="inlineStr">
        <is>
          <t>越大越严重（严重度）</t>
        </is>
      </c>
      <c r="J9" s="42" t="inlineStr">
        <is>
          <t>○</t>
        </is>
      </c>
      <c r="K9" s="42" t="inlineStr">
        <is>
          <t>○</t>
        </is>
      </c>
      <c r="L9" s="42" t="inlineStr">
        <is>
          <t>○</t>
        </is>
      </c>
      <c r="M9" s="42" t="inlineStr">
        <is>
          <t>○</t>
        </is>
      </c>
      <c r="N9" s="42" t="inlineStr">
        <is>
          <t>○</t>
        </is>
      </c>
      <c r="O9" s="40" t="inlineStr">
        <is>
          <t>—</t>
        </is>
      </c>
    </row>
    <row r="10">
      <c r="A10" s="38" t="inlineStr">
        <is>
          <t>原始运动学量</t>
        </is>
      </c>
      <c r="B10" s="39" t="inlineStr">
        <is>
          <t>接近速度 Δv</t>
        </is>
      </c>
      <c r="C10" s="40" t="inlineStr">
        <is>
          <t>closing speed</t>
        </is>
      </c>
      <c r="D10" s="41" t="inlineStr">
        <is>
          <t>Δv = v_F − v_L（纵向）；二维时 = 两车最短距离 δ 每秒缩短多少</t>
        </is>
      </c>
      <c r="E10" s="40" t="inlineStr">
        <is>
          <t>两车正以多快的速度靠近；大于 0 表示在靠近</t>
        </is>
      </c>
      <c r="F10" s="40" t="inlineStr">
        <is>
          <t>两车速度（二维时还要位置、长宽、朝向）</t>
        </is>
      </c>
      <c r="G10" s="40" t="inlineStr">
        <is>
          <t>—</t>
        </is>
      </c>
      <c r="H10" s="40" t="inlineStr">
        <is>
          <t>m/s</t>
        </is>
      </c>
      <c r="I10" s="40" t="inlineStr">
        <is>
          <t>越大越危险</t>
        </is>
      </c>
      <c r="J10" s="42" t="inlineStr">
        <is>
          <t>●</t>
        </is>
      </c>
      <c r="K10" s="42" t="inlineStr">
        <is>
          <t>●</t>
        </is>
      </c>
      <c r="L10" s="42" t="inlineStr">
        <is>
          <t>●</t>
        </is>
      </c>
      <c r="M10" s="42" t="inlineStr">
        <is>
          <t>●</t>
        </is>
      </c>
      <c r="N10" s="42" t="inlineStr">
        <is>
          <t>●</t>
        </is>
      </c>
      <c r="O10" s="40" t="inlineStr">
        <is>
          <t>—</t>
        </is>
      </c>
    </row>
    <row r="11">
      <c r="A11" s="38" t="inlineStr">
        <is>
          <t>原始运动学量</t>
        </is>
      </c>
      <c r="B11" s="39" t="inlineStr">
        <is>
          <t>纵向加速度 a</t>
        </is>
      </c>
      <c r="C11" s="40" t="inlineStr">
        <is>
          <t>longitudinal acceleration</t>
        </is>
      </c>
      <c r="D11" s="41" t="inlineStr">
        <is>
          <t>a = dv ÷ dt（负值表示减速）</t>
        </is>
      </c>
      <c r="E11" s="40" t="inlineStr">
        <is>
          <t>加速或刹车有多猛；急刹说明有人在避让</t>
        </is>
      </c>
      <c r="F11" s="40" t="inlineStr">
        <is>
          <t>速度时间序列（或数据集直接给）</t>
        </is>
      </c>
      <c r="G11" s="40" t="inlineStr">
        <is>
          <t>—</t>
        </is>
      </c>
      <c r="H11" s="40" t="inlineStr">
        <is>
          <t>m/s²</t>
        </is>
      </c>
      <c r="I11" s="40" t="inlineStr">
        <is>
          <t>减速越猛越危险</t>
        </is>
      </c>
      <c r="J11" s="42" t="inlineStr">
        <is>
          <t>●</t>
        </is>
      </c>
      <c r="K11" s="42" t="inlineStr"/>
      <c r="L11" s="42" t="inlineStr">
        <is>
          <t>○</t>
        </is>
      </c>
      <c r="M11" s="42" t="inlineStr">
        <is>
          <t>○</t>
        </is>
      </c>
      <c r="N11" s="42" t="inlineStr"/>
      <c r="O11" s="40" t="inlineStr">
        <is>
          <t>—</t>
        </is>
      </c>
    </row>
    <row r="12">
      <c r="A12" s="38" t="inlineStr">
        <is>
          <t>原始运动学量</t>
        </is>
      </c>
      <c r="B12" s="39" t="inlineStr">
        <is>
          <t>急刹事件</t>
        </is>
      </c>
      <c r="C12" s="40" t="inlineStr">
        <is>
          <t>hard-braking event</t>
        </is>
      </c>
      <c r="D12" s="41" t="inlineStr">
        <is>
          <t>急刹 = [a(t) &lt; −a_thr]，按次数或持续时间统计</t>
        </is>
      </c>
      <c r="E12" s="40" t="inlineStr">
        <is>
          <t>减速超过阈值的时刻；适合用来筛出可疑片段</t>
        </is>
      </c>
      <c r="F12" s="40" t="inlineStr">
        <is>
          <t>加速度时间序列</t>
        </is>
      </c>
      <c r="G12" s="40" t="inlineStr">
        <is>
          <t>急刹阈值 a_thr（Google 用 3 m/s²）</t>
        </is>
      </c>
      <c r="H12" s="40" t="inlineStr">
        <is>
          <t>次 / s</t>
        </is>
      </c>
      <c r="I12" s="40" t="inlineStr">
        <is>
          <t>越多越危险</t>
        </is>
      </c>
      <c r="J12" s="42" t="inlineStr">
        <is>
          <t>●</t>
        </is>
      </c>
      <c r="K12" s="42" t="inlineStr"/>
      <c r="L12" s="42" t="inlineStr">
        <is>
          <t>○</t>
        </is>
      </c>
      <c r="M12" s="42" t="inlineStr">
        <is>
          <t>○</t>
        </is>
      </c>
      <c r="N12" s="42" t="inlineStr"/>
      <c r="O12" s="40" t="inlineStr">
        <is>
          <t>Google Research 2026（HBE 定义）</t>
        </is>
      </c>
    </row>
    <row r="13">
      <c r="A13" s="38" t="inlineStr">
        <is>
          <t>原始运动学量</t>
        </is>
      </c>
      <c r="B13" s="39" t="inlineStr">
        <is>
          <t>横向加速度 a_lat</t>
        </is>
      </c>
      <c r="C13" s="40" t="inlineStr">
        <is>
          <t>lateral acceleration</t>
        </is>
      </c>
      <c r="D13" s="41" t="inlineStr">
        <is>
          <t>a_lat = v × ω ≈ v² ÷ R（R 为转弯半径）</t>
        </is>
      </c>
      <c r="E13" s="40" t="inlineStr">
        <is>
          <t>转向有多急，例如急打方向、急变道</t>
        </is>
      </c>
      <c r="F13" s="40" t="inlineStr">
        <is>
          <t>速度、横摆角速度（或转弯半径）</t>
        </is>
      </c>
      <c r="G13" s="40" t="inlineStr">
        <is>
          <t>—</t>
        </is>
      </c>
      <c r="H13" s="40" t="inlineStr">
        <is>
          <t>m/s²</t>
        </is>
      </c>
      <c r="I13" s="40" t="inlineStr">
        <is>
          <t>绝对值越大越危险</t>
        </is>
      </c>
      <c r="J13" s="42" t="inlineStr"/>
      <c r="K13" s="42" t="inlineStr">
        <is>
          <t>●</t>
        </is>
      </c>
      <c r="L13" s="42" t="inlineStr">
        <is>
          <t>○</t>
        </is>
      </c>
      <c r="M13" s="42" t="inlineStr"/>
      <c r="N13" s="42" t="inlineStr"/>
      <c r="O13" s="40" t="inlineStr">
        <is>
          <t>—</t>
        </is>
      </c>
    </row>
    <row r="14">
      <c r="A14" s="38" t="inlineStr">
        <is>
          <t>原始运动学量</t>
        </is>
      </c>
      <c r="B14" s="39" t="inlineStr">
        <is>
          <t>加加速度 jerk</t>
        </is>
      </c>
      <c r="C14" s="40" t="inlineStr">
        <is>
          <t>jerk</t>
        </is>
      </c>
      <c r="D14" s="41" t="inlineStr">
        <is>
          <t>jerk = da ÷ dt</t>
        </is>
      </c>
      <c r="E14" s="40" t="inlineStr">
        <is>
          <t>加速度变化得有多突然，例如猛踩刹车</t>
        </is>
      </c>
      <c r="F14" s="40" t="inlineStr">
        <is>
          <t>加速度时间序列</t>
        </is>
      </c>
      <c r="G14" s="40" t="inlineStr">
        <is>
          <t>—</t>
        </is>
      </c>
      <c r="H14" s="40" t="inlineStr">
        <is>
          <t>m/s³</t>
        </is>
      </c>
      <c r="I14" s="40" t="inlineStr">
        <is>
          <t>绝对值越大越危险</t>
        </is>
      </c>
      <c r="J14" s="42" t="inlineStr">
        <is>
          <t>○</t>
        </is>
      </c>
      <c r="K14" s="42" t="inlineStr">
        <is>
          <t>○</t>
        </is>
      </c>
      <c r="L14" s="42" t="inlineStr">
        <is>
          <t>○</t>
        </is>
      </c>
      <c r="M14" s="42" t="inlineStr"/>
      <c r="N14" s="42" t="inlineStr"/>
      <c r="O14" s="40" t="inlineStr">
        <is>
          <t>—</t>
        </is>
      </c>
    </row>
    <row r="15">
      <c r="A15" s="38" t="inlineStr">
        <is>
          <t>原始运动学量</t>
        </is>
      </c>
      <c r="B15" s="39" t="inlineStr">
        <is>
          <t>横摆角速度 ω</t>
        </is>
      </c>
      <c r="C15" s="40" t="inlineStr">
        <is>
          <t>yaw rate</t>
        </is>
      </c>
      <c r="D15" s="41" t="inlineStr">
        <is>
          <t>ω = dθ ÷ dt（θ 为车头朝向）</t>
        </is>
      </c>
      <c r="E15" s="40" t="inlineStr">
        <is>
          <t>车头转得有多快，反映突然打方向</t>
        </is>
      </c>
      <c r="F15" s="40" t="inlineStr">
        <is>
          <t>朝向时间序列</t>
        </is>
      </c>
      <c r="G15" s="40" t="inlineStr">
        <is>
          <t>—</t>
        </is>
      </c>
      <c r="H15" s="40" t="inlineStr">
        <is>
          <t>rad/s</t>
        </is>
      </c>
      <c r="I15" s="40" t="inlineStr">
        <is>
          <t>绝对值越大越危险</t>
        </is>
      </c>
      <c r="J15" s="42" t="inlineStr"/>
      <c r="K15" s="42" t="inlineStr">
        <is>
          <t>●</t>
        </is>
      </c>
      <c r="L15" s="42" t="inlineStr">
        <is>
          <t>○</t>
        </is>
      </c>
      <c r="M15" s="42" t="inlineStr"/>
      <c r="N15" s="42" t="inlineStr"/>
      <c r="O15" s="40" t="inlineStr">
        <is>
          <t>—</t>
        </is>
      </c>
    </row>
    <row r="16">
      <c r="A16" s="43" t="inlineStr">
        <is>
          <t>时间类·接近程度</t>
        </is>
      </c>
      <c r="B16" s="39" t="inlineStr">
        <is>
          <t>TTC</t>
        </is>
      </c>
      <c r="C16" s="40" t="inlineStr">
        <is>
          <t>time to collision</t>
        </is>
      </c>
      <c r="D16" s="41" t="inlineStr">
        <is>
          <t>TTC = d ÷ Δv（Δv &gt; 0；否则记为 ∞）</t>
        </is>
      </c>
      <c r="E16" s="40" t="inlineStr">
        <is>
          <t>两车都保持现在的速度，还剩几秒撞上</t>
        </is>
      </c>
      <c r="F16" s="40" t="inlineStr">
        <is>
          <t>间距、两车速度</t>
        </is>
      </c>
      <c r="G16" s="40" t="inlineStr">
        <is>
          <t>—</t>
        </is>
      </c>
      <c r="H16" s="40" t="inlineStr">
        <is>
          <t>s</t>
        </is>
      </c>
      <c r="I16" s="40" t="inlineStr">
        <is>
          <t>越小越危险</t>
        </is>
      </c>
      <c r="J16" s="42" t="inlineStr">
        <is>
          <t>●</t>
        </is>
      </c>
      <c r="K16" s="42" t="inlineStr">
        <is>
          <t>○</t>
        </is>
      </c>
      <c r="L16" s="42" t="inlineStr">
        <is>
          <t>○</t>
        </is>
      </c>
      <c r="M16" s="42" t="inlineStr"/>
      <c r="N16" s="42" t="inlineStr">
        <is>
          <t>○</t>
        </is>
      </c>
      <c r="O16" s="40" t="inlineStr">
        <is>
          <t>Hayward 1972</t>
        </is>
      </c>
    </row>
    <row r="17">
      <c r="A17" s="43" t="inlineStr">
        <is>
          <t>时间类·接近程度</t>
        </is>
      </c>
      <c r="B17" s="39" t="inlineStr">
        <is>
          <t>RTTC (ITTC)</t>
        </is>
      </c>
      <c r="C17" s="40" t="inlineStr">
        <is>
          <t>reciprocal / inverse TTC</t>
        </is>
      </c>
      <c r="D17" s="41" t="inlineStr">
        <is>
          <t>RTTC = Δv ÷ d = 1 ÷ TTC（不在靠近时为 0）</t>
        </is>
      </c>
      <c r="E17" s="40" t="inlineStr">
        <is>
          <t>TTC 的倒数；不会出现无穷大，排序和求平均方便</t>
        </is>
      </c>
      <c r="F17" s="40" t="inlineStr">
        <is>
          <t>间距、两车速度</t>
        </is>
      </c>
      <c r="G17" s="40" t="inlineStr">
        <is>
          <t>—</t>
        </is>
      </c>
      <c r="H17" s="40" t="inlineStr">
        <is>
          <t>1/s</t>
        </is>
      </c>
      <c r="I17" s="40" t="inlineStr">
        <is>
          <t>越大越危险</t>
        </is>
      </c>
      <c r="J17" s="42" t="inlineStr">
        <is>
          <t>●</t>
        </is>
      </c>
      <c r="K17" s="42" t="inlineStr">
        <is>
          <t>○</t>
        </is>
      </c>
      <c r="L17" s="42" t="inlineStr">
        <is>
          <t>○</t>
        </is>
      </c>
      <c r="M17" s="42" t="inlineStr"/>
      <c r="N17" s="42" t="inlineStr">
        <is>
          <t>○</t>
        </is>
      </c>
      <c r="O17" s="40" t="inlineStr">
        <is>
          <t>—</t>
        </is>
      </c>
    </row>
    <row r="18">
      <c r="A18" s="43" t="inlineStr">
        <is>
          <t>时间类·接近程度</t>
        </is>
      </c>
      <c r="B18" s="39" t="inlineStr">
        <is>
          <t>MTTC</t>
        </is>
      </c>
      <c r="C18" s="40" t="inlineStr">
        <is>
          <t>modified time to collision</t>
        </is>
      </c>
      <c r="D18" s="41" t="inlineStr">
        <is>
          <t>解 d = Δv·t + ½·Δa·t²；MTTC = [−Δv + √(Δv² + 2·Δa·d)] ÷ Δa（取最小正根；Δa = 0 时等于 TTC）</t>
        </is>
      </c>
      <c r="E18" s="40" t="inlineStr">
        <is>
          <t>不假设匀速，假设两车各自保持现在的加速度，还剩几秒撞上</t>
        </is>
      </c>
      <c r="F18" s="40" t="inlineStr">
        <is>
          <t>间距、两车速度和加速度</t>
        </is>
      </c>
      <c r="G18" s="40" t="inlineStr">
        <is>
          <t>—</t>
        </is>
      </c>
      <c r="H18" s="40" t="inlineStr">
        <is>
          <t>s</t>
        </is>
      </c>
      <c r="I18" s="40" t="inlineStr">
        <is>
          <t>越小越危险</t>
        </is>
      </c>
      <c r="J18" s="42" t="inlineStr">
        <is>
          <t>●</t>
        </is>
      </c>
      <c r="K18" s="42" t="inlineStr"/>
      <c r="L18" s="42" t="inlineStr"/>
      <c r="M18" s="42" t="inlineStr"/>
      <c r="N18" s="42" t="inlineStr"/>
      <c r="O18" s="40" t="inlineStr">
        <is>
          <t>Ozbay 等 2008</t>
        </is>
      </c>
    </row>
    <row r="19">
      <c r="A19" s="43" t="inlineStr">
        <is>
          <t>时间类·接近程度</t>
        </is>
      </c>
      <c r="B19" s="39" t="inlineStr">
        <is>
          <t>THW</t>
        </is>
      </c>
      <c r="C19" s="40" t="inlineStr">
        <is>
          <t>time headway</t>
        </is>
      </c>
      <c r="D19" s="41" t="inlineStr">
        <is>
          <t>THW = d ÷ v_F</t>
        </is>
      </c>
      <c r="E19" s="40" t="inlineStr">
        <is>
          <t>后车按现在的速度，几秒开到前车现在的位置；文献里间距定义不统一，要写明</t>
        </is>
      </c>
      <c r="F19" s="40" t="inlineStr">
        <is>
          <t>间距、后车速度</t>
        </is>
      </c>
      <c r="G19" s="40" t="inlineStr">
        <is>
          <t>—</t>
        </is>
      </c>
      <c r="H19" s="40" t="inlineStr">
        <is>
          <t>s</t>
        </is>
      </c>
      <c r="I19" s="40" t="inlineStr">
        <is>
          <t>越小越危险</t>
        </is>
      </c>
      <c r="J19" s="42" t="inlineStr">
        <is>
          <t>●</t>
        </is>
      </c>
      <c r="K19" s="42" t="inlineStr"/>
      <c r="L19" s="42" t="inlineStr"/>
      <c r="M19" s="42" t="inlineStr"/>
      <c r="N19" s="42" t="inlineStr"/>
      <c r="O19" s="40" t="inlineStr">
        <is>
          <t>经典定义（见 Westhofen 目录）</t>
        </is>
      </c>
    </row>
    <row r="20">
      <c r="A20" s="43" t="inlineStr">
        <is>
          <t>时间类·接近程度</t>
        </is>
      </c>
      <c r="B20" s="39" t="inlineStr">
        <is>
          <t>2D-TTC</t>
        </is>
      </c>
      <c r="C20" s="40" t="inlineStr">
        <is>
          <t>two-dimensional TTC</t>
        </is>
      </c>
      <c r="D20" s="41" t="inlineStr">
        <is>
          <t>TTC_纵 = (s_纵 − L_前) ÷ Δv_纵；TTC_横 = (s_横 − W̄) ÷ Δv_横；2D-TTC = min(TTC_纵, TTC_横)（各自要求到那时另一个方向仍然重叠）。几何版：两车外框第一次重叠的时刻</t>
        </is>
      </c>
      <c r="E20" s="40" t="inlineStr">
        <is>
          <t>从后面追上还是从侧面刮蹭，取先发生的那个，还剩几秒</t>
        </is>
      </c>
      <c r="F20" s="40" t="inlineStr">
        <is>
          <t>两车位置、长宽、朝向、速度向量</t>
        </is>
      </c>
      <c r="G20" s="40" t="inlineStr">
        <is>
          <t>—</t>
        </is>
      </c>
      <c r="H20" s="40" t="inlineStr">
        <is>
          <t>s</t>
        </is>
      </c>
      <c r="I20" s="40" t="inlineStr">
        <is>
          <t>越小越危险</t>
        </is>
      </c>
      <c r="J20" s="42" t="inlineStr">
        <is>
          <t>●</t>
        </is>
      </c>
      <c r="K20" s="42" t="inlineStr">
        <is>
          <t>●</t>
        </is>
      </c>
      <c r="L20" s="42" t="inlineStr">
        <is>
          <t>○</t>
        </is>
      </c>
      <c r="M20" s="42" t="inlineStr">
        <is>
          <t>○</t>
        </is>
      </c>
      <c r="N20" s="42" t="inlineStr">
        <is>
          <t>○</t>
        </is>
      </c>
      <c r="O20" s="40" t="inlineStr">
        <is>
          <t>Guo、Xie &amp; Keyvan-Ekbatani 2023；演示脚本用的是几何版</t>
        </is>
      </c>
    </row>
    <row r="21">
      <c r="A21" s="43" t="inlineStr">
        <is>
          <t>时间类·接近程度</t>
        </is>
      </c>
      <c r="B21" s="39" t="inlineStr">
        <is>
          <t>ACT</t>
        </is>
      </c>
      <c r="C21" s="40" t="inlineStr">
        <is>
          <t>anticipated collision time</t>
        </is>
      </c>
      <c r="D21" s="41" t="inlineStr">
        <is>
          <t>ACT = δ ÷ (δ 每秒缩短多少)；δ = 两车外框最短距离</t>
        </is>
      </c>
      <c r="E21" s="40" t="inlineStr">
        <is>
          <t>二维最短距离除以它的缩短速度；追尾、侧刮、对撞、斜角都能用</t>
        </is>
      </c>
      <c r="F21" s="40" t="inlineStr">
        <is>
          <t>两车位置、长宽、朝向、速度向量</t>
        </is>
      </c>
      <c r="G21" s="40" t="inlineStr">
        <is>
          <t>—</t>
        </is>
      </c>
      <c r="H21" s="40" t="inlineStr">
        <is>
          <t>s</t>
        </is>
      </c>
      <c r="I21" s="40" t="inlineStr">
        <is>
          <t>越小越危险</t>
        </is>
      </c>
      <c r="J21" s="42" t="inlineStr">
        <is>
          <t>●</t>
        </is>
      </c>
      <c r="K21" s="42" t="inlineStr">
        <is>
          <t>●</t>
        </is>
      </c>
      <c r="L21" s="42" t="inlineStr">
        <is>
          <t>●</t>
        </is>
      </c>
      <c r="M21" s="42" t="inlineStr">
        <is>
          <t>○</t>
        </is>
      </c>
      <c r="N21" s="42" t="inlineStr">
        <is>
          <t>●</t>
        </is>
      </c>
      <c r="O21" s="40" t="inlineStr">
        <is>
          <t>Venthuruthiyil &amp; Chunchu 2022</t>
        </is>
      </c>
    </row>
    <row r="22">
      <c r="A22" s="43" t="inlineStr">
        <is>
          <t>时间类·接近程度</t>
        </is>
      </c>
      <c r="B22" s="39" t="inlineStr">
        <is>
          <t>PET</t>
        </is>
      </c>
      <c r="C22" s="40" t="inlineStr">
        <is>
          <t>post-encroachment time</t>
        </is>
      </c>
      <c r="D22" s="41" t="inlineStr">
        <is>
          <t>PET = t_后到者进入冲突区 − t_先到者离开冲突区</t>
        </is>
      </c>
      <c r="E22" s="40" t="inlineStr">
        <is>
          <t>两个人实际先后经过同一块区域，相差几秒</t>
        </is>
      </c>
      <c r="F22" s="40" t="inlineStr">
        <is>
          <t>两条完整轨迹、冲突区</t>
        </is>
      </c>
      <c r="G22" s="40" t="inlineStr">
        <is>
          <t>冲突区的定义</t>
        </is>
      </c>
      <c r="H22" s="40" t="inlineStr">
        <is>
          <t>s</t>
        </is>
      </c>
      <c r="I22" s="40" t="inlineStr">
        <is>
          <t>越小越危险</t>
        </is>
      </c>
      <c r="J22" s="42" t="inlineStr"/>
      <c r="K22" s="42" t="inlineStr">
        <is>
          <t>○</t>
        </is>
      </c>
      <c r="L22" s="42" t="inlineStr">
        <is>
          <t>●</t>
        </is>
      </c>
      <c r="M22" s="42" t="inlineStr">
        <is>
          <t>●</t>
        </is>
      </c>
      <c r="N22" s="42" t="inlineStr"/>
      <c r="O22" s="40" t="inlineStr">
        <is>
          <t>Allen 等 1978</t>
        </is>
      </c>
    </row>
    <row r="23">
      <c r="A23" s="43" t="inlineStr">
        <is>
          <t>时间类·接近程度</t>
        </is>
      </c>
      <c r="B23" s="39" t="inlineStr">
        <is>
          <t>GT</t>
        </is>
      </c>
      <c r="C23" s="40" t="inlineStr">
        <is>
          <t>gap time</t>
        </is>
      </c>
      <c r="D23" s="41" t="inlineStr">
        <is>
          <t>GT = t̂_后到者进入冲突区 − t̂_先到者离开冲突区（t̂ 按当前速度和方向预测）</t>
        </is>
      </c>
      <c r="E23" s="40" t="inlineStr">
        <is>
          <t>预测的 PET；冲突发生之前就能算</t>
        </is>
      </c>
      <c r="F23" s="40" t="inlineStr">
        <is>
          <t>两车位置、速度、冲突区</t>
        </is>
      </c>
      <c r="G23" s="40" t="inlineStr">
        <is>
          <t>冲突区的定义</t>
        </is>
      </c>
      <c r="H23" s="40" t="inlineStr">
        <is>
          <t>s</t>
        </is>
      </c>
      <c r="I23" s="40" t="inlineStr">
        <is>
          <t>越小越危险</t>
        </is>
      </c>
      <c r="J23" s="42" t="inlineStr"/>
      <c r="K23" s="42" t="inlineStr">
        <is>
          <t>○</t>
        </is>
      </c>
      <c r="L23" s="42" t="inlineStr">
        <is>
          <t>●</t>
        </is>
      </c>
      <c r="M23" s="42" t="inlineStr">
        <is>
          <t>●</t>
        </is>
      </c>
      <c r="N23" s="42" t="inlineStr"/>
      <c r="O23" s="40" t="inlineStr">
        <is>
          <t>Allen 等 1978</t>
        </is>
      </c>
    </row>
    <row r="24">
      <c r="A24" s="43" t="inlineStr">
        <is>
          <t>时间类·避让时机</t>
        </is>
      </c>
      <c r="B24" s="39" t="inlineStr">
        <is>
          <t>TTB</t>
        </is>
      </c>
      <c r="C24" s="40" t="inlineStr">
        <is>
          <t>time to brake</t>
        </is>
      </c>
      <c r="D24" s="41" t="inlineStr">
        <is>
          <t>TTB = TTC − Δv ÷ (2·a_max)（前车匀速、后车以最大减速度刹车时的化简式；小于 0 记为 −∞）</t>
        </is>
      </c>
      <c r="E24" s="40" t="inlineStr">
        <is>
          <t>最晚还能等几秒再刹车，并且仍然能避免碰撞</t>
        </is>
      </c>
      <c r="F24" s="40" t="inlineStr">
        <is>
          <t>间距、两车速度</t>
        </is>
      </c>
      <c r="G24" s="40" t="inlineStr">
        <is>
          <t>最大减速度 a_max</t>
        </is>
      </c>
      <c r="H24" s="40" t="inlineStr">
        <is>
          <t>s</t>
        </is>
      </c>
      <c r="I24" s="40" t="inlineStr">
        <is>
          <t>越小越危险</t>
        </is>
      </c>
      <c r="J24" s="42" t="inlineStr">
        <is>
          <t>●</t>
        </is>
      </c>
      <c r="K24" s="42" t="inlineStr"/>
      <c r="L24" s="42" t="inlineStr">
        <is>
          <t>○</t>
        </is>
      </c>
      <c r="M24" s="42" t="inlineStr"/>
      <c r="N24" s="42" t="inlineStr"/>
      <c r="O24" s="40" t="inlineStr">
        <is>
          <t>TTM 定义（Westhofen 目录）；化简式按定义推导</t>
        </is>
      </c>
    </row>
    <row r="25">
      <c r="A25" s="43" t="inlineStr">
        <is>
          <t>时间类·避让时机</t>
        </is>
      </c>
      <c r="B25" s="39" t="inlineStr">
        <is>
          <t>TTS</t>
        </is>
      </c>
      <c r="C25" s="40" t="inlineStr">
        <is>
          <t>time to steer</t>
        </is>
      </c>
      <c r="D25" s="41" t="inlineStr">
        <is>
          <t>y_req = (W_F + W_L) ÷ 2 − |横向偏移|；TTS = TTC − √(2·y_req ÷ a_lat,max)</t>
        </is>
      </c>
      <c r="E25" s="40" t="inlineStr">
        <is>
          <t>最晚还能等几秒再打方向，并且仍然能避免碰撞</t>
        </is>
      </c>
      <c r="F25" s="40" t="inlineStr">
        <is>
          <t>间距、横向偏移、车宽、两车速度</t>
        </is>
      </c>
      <c r="G25" s="40" t="inlineStr">
        <is>
          <t>最大横向加速度 a_lat,max</t>
        </is>
      </c>
      <c r="H25" s="40" t="inlineStr">
        <is>
          <t>s</t>
        </is>
      </c>
      <c r="I25" s="40" t="inlineStr">
        <is>
          <t>越小越危险</t>
        </is>
      </c>
      <c r="J25" s="42" t="inlineStr">
        <is>
          <t>●</t>
        </is>
      </c>
      <c r="K25" s="42" t="inlineStr">
        <is>
          <t>○</t>
        </is>
      </c>
      <c r="L25" s="42" t="inlineStr">
        <is>
          <t>○</t>
        </is>
      </c>
      <c r="M25" s="42" t="inlineStr"/>
      <c r="N25" s="42" t="inlineStr"/>
      <c r="O25" s="40" t="inlineStr">
        <is>
          <t>TTM 定义（Westhofen 目录）；化简式按定义推导</t>
        </is>
      </c>
    </row>
    <row r="26" s="26">
      <c r="A26" s="44" t="inlineStr">
        <is>
          <t>距离类</t>
        </is>
      </c>
      <c r="B26" s="39" t="inlineStr">
        <is>
          <t>PSD</t>
        </is>
      </c>
      <c r="C26" s="40" t="inlineStr">
        <is>
          <t>proportion of stopping distance</t>
        </is>
      </c>
      <c r="D26" s="41" t="inlineStr">
        <is>
          <t>PSD = 到冲突点的剩余距离 ÷ [v² ÷ (2·a_max)]</t>
        </is>
      </c>
      <c r="E26" s="40" t="inlineStr">
        <is>
          <t>剩下的距离够不够停车；小于 1 表示刹不住</t>
        </is>
      </c>
      <c r="F26" s="40" t="inlineStr">
        <is>
          <t>到冲突点的距离、速度</t>
        </is>
      </c>
      <c r="G26" s="40" t="inlineStr">
        <is>
          <t>最大可接受减速度 a_max</t>
        </is>
      </c>
      <c r="H26" s="40" t="inlineStr">
        <is>
          <t>无单位</t>
        </is>
      </c>
      <c r="I26" s="40" t="inlineStr">
        <is>
          <t>越小越危险</t>
        </is>
      </c>
      <c r="J26" s="42" t="inlineStr">
        <is>
          <t>○</t>
        </is>
      </c>
      <c r="K26" s="42" t="inlineStr"/>
      <c r="L26" s="42" t="inlineStr">
        <is>
          <t>●</t>
        </is>
      </c>
      <c r="M26" s="42" t="inlineStr">
        <is>
          <t>○</t>
        </is>
      </c>
      <c r="N26" s="42" t="inlineStr"/>
      <c r="O26" s="40" t="inlineStr">
        <is>
          <t>Allen 等 1978</t>
        </is>
      </c>
    </row>
    <row r="27" s="26">
      <c r="A27" s="44" t="inlineStr">
        <is>
          <t>距离类</t>
        </is>
      </c>
      <c r="B27" s="39" t="inlineStr">
        <is>
          <t>PICUD</t>
        </is>
      </c>
      <c r="C27" s="40" t="inlineStr">
        <is>
          <t>potential index for collision with urgent deceleration</t>
        </is>
      </c>
      <c r="D27" s="41" t="inlineStr">
        <is>
          <t>PICUD = v_L² ÷ (2a) + d − [v_F·τ + v_F² ÷ (2a)]</t>
        </is>
      </c>
      <c r="E27" s="40" t="inlineStr">
        <is>
          <t>前车以 a 急刹，自车反应 τ 秒后也以 a 急刹；两车都停下后还剩的距离，小于 0 表示会撞</t>
        </is>
      </c>
      <c r="F27" s="40" t="inlineStr">
        <is>
          <t>间距、两车速度</t>
        </is>
      </c>
      <c r="G27" s="40" t="inlineStr">
        <is>
          <t>反应时间 τ、急刹减速度 a</t>
        </is>
      </c>
      <c r="H27" s="40" t="inlineStr">
        <is>
          <t>m</t>
        </is>
      </c>
      <c r="I27" s="40" t="inlineStr">
        <is>
          <t>越小越危险</t>
        </is>
      </c>
      <c r="J27" s="42" t="inlineStr">
        <is>
          <t>●</t>
        </is>
      </c>
      <c r="K27" s="42" t="inlineStr"/>
      <c r="L27" s="42" t="inlineStr"/>
      <c r="M27" s="42" t="inlineStr"/>
      <c r="N27" s="42" t="inlineStr"/>
      <c r="O27" s="40" t="inlineStr">
        <is>
          <t>Uno 等 2002</t>
        </is>
      </c>
    </row>
    <row r="28" s="26">
      <c r="A28" s="44" t="inlineStr">
        <is>
          <t>距离类</t>
        </is>
      </c>
      <c r="B28" s="39" t="inlineStr">
        <is>
          <t>RCRI</t>
        </is>
      </c>
      <c r="C28" s="40" t="inlineStr">
        <is>
          <t>rear-end collision risk index</t>
        </is>
      </c>
      <c r="D28" s="41" t="inlineStr">
        <is>
          <t>SSD_L = d + v_L² ÷ (2·a_max)；SSD_F = v_F·τ + v_F² ÷ (2·a_max)；RCRI = 1（危险）若 SSD_F ≥ SSD_L，否则 0</t>
        </is>
      </c>
      <c r="E28" s="40" t="inlineStr">
        <is>
          <t>比较两车停下的位置，只输出危险 / 不危险</t>
        </is>
      </c>
      <c r="F28" s="40" t="inlineStr">
        <is>
          <t>间距、两车速度</t>
        </is>
      </c>
      <c r="G28" s="40" t="inlineStr">
        <is>
          <t>反应时间 τ、最大减速度 a_max</t>
        </is>
      </c>
      <c r="H28" s="40" t="inlineStr">
        <is>
          <t>0 / 1</t>
        </is>
      </c>
      <c r="I28" s="40" t="inlineStr">
        <is>
          <t>1 表示危险</t>
        </is>
      </c>
      <c r="J28" s="42" t="inlineStr">
        <is>
          <t>●</t>
        </is>
      </c>
      <c r="K28" s="42" t="inlineStr"/>
      <c r="L28" s="42" t="inlineStr"/>
      <c r="M28" s="42" t="inlineStr"/>
      <c r="N28" s="42" t="inlineStr"/>
      <c r="O28" s="40" t="inlineStr">
        <is>
          <t>Oh 等 2006</t>
        </is>
      </c>
    </row>
    <row r="29" s="26">
      <c r="A29" s="45" t="inlineStr">
        <is>
          <t>减速度类</t>
        </is>
      </c>
      <c r="B29" s="39" t="inlineStr">
        <is>
          <t>DRAC</t>
        </is>
      </c>
      <c r="C29" s="40" t="inlineStr">
        <is>
          <t>deceleration rate to avoid crash</t>
        </is>
      </c>
      <c r="D29" s="41" t="inlineStr">
        <is>
          <t>DRAC = Δv² ÷ (2·d)（不在靠近时为 0）</t>
        </is>
      </c>
      <c r="E29" s="40" t="inlineStr">
        <is>
          <t>在间距用完之前把接近速度降到 0，后车至少要多大的减速度</t>
        </is>
      </c>
      <c r="F29" s="40" t="inlineStr">
        <is>
          <t>间距、两车速度</t>
        </is>
      </c>
      <c r="G29" s="40" t="inlineStr">
        <is>
          <t>—</t>
        </is>
      </c>
      <c r="H29" s="40" t="inlineStr">
        <is>
          <t>m/s²</t>
        </is>
      </c>
      <c r="I29" s="40" t="inlineStr">
        <is>
          <t>越大越危险</t>
        </is>
      </c>
      <c r="J29" s="42" t="inlineStr">
        <is>
          <t>●</t>
        </is>
      </c>
      <c r="K29" s="42" t="inlineStr">
        <is>
          <t>○</t>
        </is>
      </c>
      <c r="L29" s="42" t="inlineStr">
        <is>
          <t>○</t>
        </is>
      </c>
      <c r="M29" s="42" t="inlineStr"/>
      <c r="N29" s="42" t="inlineStr"/>
      <c r="O29" s="40" t="inlineStr">
        <is>
          <t>Almqvist 等 1991</t>
        </is>
      </c>
    </row>
    <row r="30" s="26">
      <c r="A30" s="45" t="inlineStr">
        <is>
          <t>减速度类</t>
        </is>
      </c>
      <c r="B30" s="39" t="inlineStr">
        <is>
          <t>DST</t>
        </is>
      </c>
      <c r="C30" s="40" t="inlineStr">
        <is>
          <t>deceleration to safety time</t>
        </is>
      </c>
      <c r="D30" s="41" t="inlineStr">
        <is>
          <t>DST = Δv² ÷ [2·(d − v_L·t_s)]</t>
        </is>
      </c>
      <c r="E30" s="40" t="inlineStr">
        <is>
          <t>不只是不撞，还要留出 t_s 秒安全时距，所需要的减速度</t>
        </is>
      </c>
      <c r="F30" s="40" t="inlineStr">
        <is>
          <t>间距、两车速度</t>
        </is>
      </c>
      <c r="G30" s="40" t="inlineStr">
        <is>
          <t>安全时距 t_s（NHTSA 那篇用 1.4 s）</t>
        </is>
      </c>
      <c r="H30" s="40" t="inlineStr">
        <is>
          <t>m/s²</t>
        </is>
      </c>
      <c r="I30" s="40" t="inlineStr">
        <is>
          <t>越大越危险</t>
        </is>
      </c>
      <c r="J30" s="42" t="inlineStr">
        <is>
          <t>●</t>
        </is>
      </c>
      <c r="K30" s="42" t="inlineStr"/>
      <c r="L30" s="42" t="inlineStr"/>
      <c r="M30" s="42" t="inlineStr"/>
      <c r="N30" s="42" t="inlineStr"/>
      <c r="O30" s="40" t="inlineStr">
        <is>
          <t>Hupfer 1997（见 Westhofen 目录）</t>
        </is>
      </c>
    </row>
    <row r="31" s="26">
      <c r="A31" s="45" t="inlineStr">
        <is>
          <t>减速度类</t>
        </is>
      </c>
      <c r="B31" s="39" t="inlineStr">
        <is>
          <t>CPI</t>
        </is>
      </c>
      <c r="C31" s="40" t="inlineStr">
        <is>
          <t>crash potential index</t>
        </is>
      </c>
      <c r="D31" s="41" t="inlineStr">
        <is>
          <t>CPI = (1 ÷ T) × Σ_t P(DRAC(t) &gt; MADR) × Δt × b(t)（b(t) 在两车靠近时为 1）</t>
        </is>
      </c>
      <c r="E31" s="40" t="inlineStr">
        <is>
          <t>每一刻"需要的减速度超过车辆刹车能力"的概率，按时间累加再平均</t>
        </is>
      </c>
      <c r="F31" s="40" t="inlineStr">
        <is>
          <t>DRAC 时间序列</t>
        </is>
      </c>
      <c r="G31" s="40" t="inlineStr">
        <is>
          <t>最大可用减速度 MADR 的分布</t>
        </is>
      </c>
      <c r="H31" s="40" t="inlineStr">
        <is>
          <t>0–1</t>
        </is>
      </c>
      <c r="I31" s="40" t="inlineStr">
        <is>
          <t>越大越危险</t>
        </is>
      </c>
      <c r="J31" s="42" t="inlineStr">
        <is>
          <t>●</t>
        </is>
      </c>
      <c r="K31" s="42" t="inlineStr"/>
      <c r="L31" s="42" t="inlineStr"/>
      <c r="M31" s="42" t="inlineStr"/>
      <c r="N31" s="42" t="inlineStr"/>
      <c r="O31" s="40" t="inlineStr">
        <is>
          <t>Cunto &amp; Saccomanno 2008</t>
        </is>
      </c>
    </row>
    <row r="32" s="26">
      <c r="A32" s="46" t="inlineStr">
        <is>
          <t>严重度类</t>
        </is>
      </c>
      <c r="B32" s="39" t="inlineStr">
        <is>
          <t>delta-V</t>
        </is>
      </c>
      <c r="C32" s="40" t="inlineStr">
        <is>
          <t>change in velocity during a (potential) collision</t>
        </is>
      </c>
      <c r="D32" s="41" t="inlineStr">
        <is>
          <t>ΔV_F = m_L ÷ (m_F + m_L) × |v_F − v_L|（v 为速度向量）</t>
        </is>
      </c>
      <c r="E32" s="40" t="inlineStr">
        <is>
          <t>假设撞上后两车粘在一起，各自的速度一下子变多少；轻的一方变化大</t>
        </is>
      </c>
      <c r="F32" s="40" t="inlineStr">
        <is>
          <t>两车速度向量、质量</t>
        </is>
      </c>
      <c r="G32" s="40" t="inlineStr">
        <is>
          <t>车辆质量（按车型或外框大小估）</t>
        </is>
      </c>
      <c r="H32" s="40" t="inlineStr">
        <is>
          <t>m/s</t>
        </is>
      </c>
      <c r="I32" s="40" t="inlineStr">
        <is>
          <t>越大越严重</t>
        </is>
      </c>
      <c r="J32" s="42" t="inlineStr">
        <is>
          <t>●</t>
        </is>
      </c>
      <c r="K32" s="42" t="inlineStr">
        <is>
          <t>○</t>
        </is>
      </c>
      <c r="L32" s="42" t="inlineStr">
        <is>
          <t>●</t>
        </is>
      </c>
      <c r="M32" s="42" t="inlineStr">
        <is>
          <t>○</t>
        </is>
      </c>
      <c r="N32" s="42" t="inlineStr">
        <is>
          <t>●</t>
        </is>
      </c>
      <c r="O32" s="40" t="inlineStr">
        <is>
          <t>事故重建；Shelby 2011；Extended Delta-V 见 Laureshyn 2017</t>
        </is>
      </c>
    </row>
    <row r="33" s="26">
      <c r="A33" s="46" t="inlineStr">
        <is>
          <t>严重度类</t>
        </is>
      </c>
      <c r="B33" s="39" t="inlineStr">
        <is>
          <t>CI</t>
        </is>
      </c>
      <c r="C33" s="40" t="inlineStr">
        <is>
          <t>crash index (Ozbay et al. 2008)</t>
        </is>
      </c>
      <c r="D33" s="41" t="inlineStr">
        <is>
          <t>CI = [(v_F + a_F·MTTC)² − (v_L + a_L·MTTC)²] ÷ 2 × 1 ÷ MTTC</t>
        </is>
      </c>
      <c r="E33" s="40" t="inlineStr">
        <is>
          <t>到撞上那一刻两车速度平方差（碰撞能量）除以还剩的时间；常见引用写法，需核对原文</t>
        </is>
      </c>
      <c r="F33" s="40" t="inlineStr">
        <is>
          <t>两车速度、加速度、MTTC</t>
        </is>
      </c>
      <c r="G33" s="40" t="inlineStr">
        <is>
          <t>—</t>
        </is>
      </c>
      <c r="H33" s="40" t="inlineStr">
        <is>
          <t>m²/s³</t>
        </is>
      </c>
      <c r="I33" s="40" t="inlineStr">
        <is>
          <t>越大越危险</t>
        </is>
      </c>
      <c r="J33" s="42" t="inlineStr">
        <is>
          <t>●</t>
        </is>
      </c>
      <c r="K33" s="42" t="inlineStr"/>
      <c r="L33" s="42" t="inlineStr"/>
      <c r="M33" s="42" t="inlineStr"/>
      <c r="N33" s="42" t="inlineStr"/>
      <c r="O33" s="40" t="inlineStr">
        <is>
          <t>Ozbay 等 2008（已对照原文 Eq. 7 核实）</t>
        </is>
      </c>
    </row>
    <row r="34" s="26">
      <c r="A34" s="47" t="inlineStr">
        <is>
          <t>模型预测类</t>
        </is>
      </c>
      <c r="B34" s="39" t="inlineStr">
        <is>
          <t>MPrISM</t>
        </is>
      </c>
      <c r="C34" s="40" t="inlineStr">
        <is>
          <t>model predictive instantaneous safety metric</t>
        </is>
      </c>
      <c r="D34" s="41" t="inlineStr">
        <is>
          <t>h* = min(对方动作) max(自车动作) 第 n 步两车距离；MPrTTC = 第一个使 h* ≤ C 的时刻</t>
        </is>
      </c>
      <c r="E34" s="40" t="inlineStr">
        <is>
          <t>对方尽量往你身上撞、你尽量躲的最坏情况下，几秒后会撞上；预测时长内撞不上算安全</t>
        </is>
      </c>
      <c r="F34" s="40" t="inlineStr">
        <is>
          <t>所有物体的状态</t>
        </is>
      </c>
      <c r="G34" s="40" t="inlineStr">
        <is>
          <t>车辆运动模型、动作范围、预测时长、碰撞距离 C（原文：1 s、2 m）</t>
        </is>
      </c>
      <c r="H34" s="40" t="inlineStr">
        <is>
          <t>s</t>
        </is>
      </c>
      <c r="I34" s="40" t="inlineStr">
        <is>
          <t>越小越危险</t>
        </is>
      </c>
      <c r="J34" s="42" t="inlineStr">
        <is>
          <t>●</t>
        </is>
      </c>
      <c r="K34" s="42" t="inlineStr">
        <is>
          <t>●</t>
        </is>
      </c>
      <c r="L34" s="42" t="inlineStr">
        <is>
          <t>●</t>
        </is>
      </c>
      <c r="M34" s="42" t="inlineStr">
        <is>
          <t>●</t>
        </is>
      </c>
      <c r="N34" s="42" t="inlineStr">
        <is>
          <t>○</t>
        </is>
      </c>
      <c r="O34" s="40" t="inlineStr">
        <is>
          <t>Weng 等 2020</t>
        </is>
      </c>
    </row>
    <row r="35" s="26"/>
    <row r="36" s="26"/>
    <row r="37" s="26"/>
    <row r="38" s="26"/>
  </sheetData>
  <autoFilter ref="A5:O34"/>
  <mergeCells count="2">
    <mergeCell ref="A3:O3"/>
    <mergeCell ref="A2:O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style="26" min="1" max="1"/>
    <col width="8" customWidth="1" style="26" min="2" max="2"/>
    <col width="14" customWidth="1" style="26" min="3" max="3"/>
    <col width="16" customWidth="1" style="26" min="4" max="4"/>
    <col width="52" customWidth="1" style="26" min="5" max="5"/>
    <col width="40" customWidth="1" style="26" min="6" max="6"/>
    <col width="26" customWidth="1" style="26" min="7" max="7"/>
    <col width="9" customWidth="1" style="26" min="8" max="8"/>
    <col width="14" customWidth="1" style="26" min="9" max="9"/>
    <col width="26" customWidth="1" style="26" min="10" max="10"/>
  </cols>
  <sheetData>
    <row r="1">
      <c r="A1" s="35" t="inlineStr">
        <is>
          <t>SSM 按碰撞类型分类（同一个指标可以出现在多个碰撞类型下），每行标注指标类型</t>
        </is>
      </c>
    </row>
    <row r="2" ht="42" customHeight="1" s="26">
      <c r="A2" s="36" t="inlineStr">
        <is>
          <t>记号：后车 F（通常是自车）、前车 L；d = 间距（后车车头到前车车尾）；v = 速度；Δv = v_F − v_L 接近速度（大于 0 表示在靠近）；a = 加速度；Δa = a_F − a_L；τ、ρ = 反应时间；a_max = 最大刹车减速度（取正数）；W = 车宽；L = 车长；δ = 两车外框最短距离；Δt = 时间步长；μ = 路面摩擦系数；g = 重力加速度</t>
        </is>
      </c>
    </row>
    <row r="3">
      <c r="A3" s="36" t="inlineStr">
        <is>
          <t>碰撞类型：● 主要适用（为这类冲突设计或最常用）　○ 可以用（需要扩展，或不是主要用途）　空白 = 不适用</t>
        </is>
      </c>
    </row>
    <row r="4"/>
    <row r="5">
      <c r="A5" s="37" t="inlineStr">
        <is>
          <t>碰撞类型</t>
        </is>
      </c>
      <c r="B5" s="37" t="inlineStr">
        <is>
          <t>适用程度</t>
        </is>
      </c>
      <c r="C5" s="37" t="inlineStr">
        <is>
          <t>指标</t>
        </is>
      </c>
      <c r="D5" s="37" t="inlineStr">
        <is>
          <t>指标类型</t>
        </is>
      </c>
      <c r="E5" s="37" t="inlineStr">
        <is>
          <t>公式</t>
        </is>
      </c>
      <c r="F5" s="37" t="inlineStr">
        <is>
          <t>公式含义</t>
        </is>
      </c>
      <c r="G5" s="37" t="inlineStr">
        <is>
          <t>需要自设的参数</t>
        </is>
      </c>
      <c r="H5" s="37" t="inlineStr">
        <is>
          <t>单位</t>
        </is>
      </c>
      <c r="I5" s="37" t="inlineStr">
        <is>
          <t>方向</t>
        </is>
      </c>
      <c r="J5" s="37" t="inlineStr">
        <is>
          <t>出处</t>
        </is>
      </c>
    </row>
    <row r="6">
      <c r="A6" s="43" t="inlineStr">
        <is>
          <t>追尾/跟车</t>
        </is>
      </c>
      <c r="B6" s="42" t="inlineStr">
        <is>
          <t>●</t>
        </is>
      </c>
      <c r="C6" s="39" t="inlineStr">
        <is>
          <t>间距 d</t>
        </is>
      </c>
      <c r="D6" s="40" t="inlineStr">
        <is>
          <t>原始运动学量</t>
        </is>
      </c>
      <c r="E6" s="41" t="inlineStr">
        <is>
          <t>d = 前车车尾纵向位置 − 后车车头纵向位置</t>
        </is>
      </c>
      <c r="F6" s="40" t="inlineStr">
        <is>
          <t>沿行驶方向两车之间还隔多远；最基础的接近程度指标</t>
        </is>
      </c>
      <c r="G6" s="40" t="inlineStr">
        <is>
          <t>—</t>
        </is>
      </c>
      <c r="H6" s="40" t="inlineStr">
        <is>
          <t>m</t>
        </is>
      </c>
      <c r="I6" s="40" t="inlineStr">
        <is>
          <t>越小越危险</t>
        </is>
      </c>
      <c r="J6" s="40" t="inlineStr">
        <is>
          <t>—</t>
        </is>
      </c>
    </row>
    <row r="7">
      <c r="A7" s="43" t="inlineStr">
        <is>
          <t>追尾/跟车</t>
        </is>
      </c>
      <c r="B7" s="42" t="inlineStr">
        <is>
          <t>●</t>
        </is>
      </c>
      <c r="C7" s="39" t="inlineStr">
        <is>
          <t>最近距离 δ</t>
        </is>
      </c>
      <c r="D7" s="40" t="inlineStr">
        <is>
          <t>原始运动学量</t>
        </is>
      </c>
      <c r="E7" s="41" t="inlineStr">
        <is>
          <t>δ = 两车外框（矩形）之间的最短距离</t>
        </is>
      </c>
      <c r="F7" s="40" t="inlineStr">
        <is>
          <t>不分方向，两车车身最近的地方隔多远</t>
        </is>
      </c>
      <c r="G7" s="40" t="inlineStr">
        <is>
          <t>—</t>
        </is>
      </c>
      <c r="H7" s="40" t="inlineStr">
        <is>
          <t>m</t>
        </is>
      </c>
      <c r="I7" s="40" t="inlineStr">
        <is>
          <t>越小越危险</t>
        </is>
      </c>
      <c r="J7" s="40" t="inlineStr">
        <is>
          <t>—</t>
        </is>
      </c>
    </row>
    <row r="8">
      <c r="A8" s="43" t="inlineStr">
        <is>
          <t>追尾/跟车</t>
        </is>
      </c>
      <c r="B8" s="42" t="inlineStr">
        <is>
          <t>●</t>
        </is>
      </c>
      <c r="C8" s="39" t="inlineStr">
        <is>
          <t>接近速度 Δv</t>
        </is>
      </c>
      <c r="D8" s="40" t="inlineStr">
        <is>
          <t>原始运动学量</t>
        </is>
      </c>
      <c r="E8" s="41" t="inlineStr">
        <is>
          <t>Δv = v_F − v_L（纵向）；二维时 = 两车最短距离 δ 每秒缩短多少</t>
        </is>
      </c>
      <c r="F8" s="40" t="inlineStr">
        <is>
          <t>两车正以多快的速度靠近；大于 0 表示在靠近</t>
        </is>
      </c>
      <c r="G8" s="40" t="inlineStr">
        <is>
          <t>—</t>
        </is>
      </c>
      <c r="H8" s="40" t="inlineStr">
        <is>
          <t>m/s</t>
        </is>
      </c>
      <c r="I8" s="40" t="inlineStr">
        <is>
          <t>越大越危险</t>
        </is>
      </c>
      <c r="J8" s="40" t="inlineStr">
        <is>
          <t>—</t>
        </is>
      </c>
    </row>
    <row r="9">
      <c r="A9" s="43" t="inlineStr">
        <is>
          <t>追尾/跟车</t>
        </is>
      </c>
      <c r="B9" s="42" t="inlineStr">
        <is>
          <t>●</t>
        </is>
      </c>
      <c r="C9" s="39" t="inlineStr">
        <is>
          <t>纵向加速度 a</t>
        </is>
      </c>
      <c r="D9" s="40" t="inlineStr">
        <is>
          <t>原始运动学量</t>
        </is>
      </c>
      <c r="E9" s="41" t="inlineStr">
        <is>
          <t>a = dv ÷ dt（负值表示减速）</t>
        </is>
      </c>
      <c r="F9" s="40" t="inlineStr">
        <is>
          <t>加速或刹车有多猛；急刹说明有人在避让</t>
        </is>
      </c>
      <c r="G9" s="40" t="inlineStr">
        <is>
          <t>—</t>
        </is>
      </c>
      <c r="H9" s="40" t="inlineStr">
        <is>
          <t>m/s²</t>
        </is>
      </c>
      <c r="I9" s="40" t="inlineStr">
        <is>
          <t>减速越猛越危险</t>
        </is>
      </c>
      <c r="J9" s="40" t="inlineStr">
        <is>
          <t>—</t>
        </is>
      </c>
    </row>
    <row r="10">
      <c r="A10" s="43" t="inlineStr">
        <is>
          <t>追尾/跟车</t>
        </is>
      </c>
      <c r="B10" s="42" t="inlineStr">
        <is>
          <t>●</t>
        </is>
      </c>
      <c r="C10" s="39" t="inlineStr">
        <is>
          <t>急刹事件</t>
        </is>
      </c>
      <c r="D10" s="40" t="inlineStr">
        <is>
          <t>原始运动学量</t>
        </is>
      </c>
      <c r="E10" s="41" t="inlineStr">
        <is>
          <t>急刹 = [a(t) &lt; −a_thr]，按次数或持续时间统计</t>
        </is>
      </c>
      <c r="F10" s="40" t="inlineStr">
        <is>
          <t>减速超过阈值的时刻；适合用来筛出可疑片段</t>
        </is>
      </c>
      <c r="G10" s="40" t="inlineStr">
        <is>
          <t>急刹阈值 a_thr（Google 用 3 m/s²）</t>
        </is>
      </c>
      <c r="H10" s="40" t="inlineStr">
        <is>
          <t>次 / s</t>
        </is>
      </c>
      <c r="I10" s="40" t="inlineStr">
        <is>
          <t>越多越危险</t>
        </is>
      </c>
      <c r="J10" s="40" t="inlineStr">
        <is>
          <t>Google Research 2026（HBE 定义）</t>
        </is>
      </c>
    </row>
    <row r="11">
      <c r="A11" s="43" t="inlineStr">
        <is>
          <t>追尾/跟车</t>
        </is>
      </c>
      <c r="B11" s="42" t="inlineStr">
        <is>
          <t>●</t>
        </is>
      </c>
      <c r="C11" s="39" t="inlineStr">
        <is>
          <t>TTC</t>
        </is>
      </c>
      <c r="D11" s="40" t="inlineStr">
        <is>
          <t>时间类·接近程度</t>
        </is>
      </c>
      <c r="E11" s="41" t="inlineStr">
        <is>
          <t>TTC = d ÷ Δv（Δv &gt; 0；否则记为 ∞）</t>
        </is>
      </c>
      <c r="F11" s="40" t="inlineStr">
        <is>
          <t>两车都保持现在的速度，还剩几秒撞上</t>
        </is>
      </c>
      <c r="G11" s="40" t="inlineStr">
        <is>
          <t>—</t>
        </is>
      </c>
      <c r="H11" s="40" t="inlineStr">
        <is>
          <t>s</t>
        </is>
      </c>
      <c r="I11" s="40" t="inlineStr">
        <is>
          <t>越小越危险</t>
        </is>
      </c>
      <c r="J11" s="40" t="inlineStr">
        <is>
          <t>Hayward 1972</t>
        </is>
      </c>
    </row>
    <row r="12">
      <c r="A12" s="43" t="inlineStr">
        <is>
          <t>追尾/跟车</t>
        </is>
      </c>
      <c r="B12" s="42" t="inlineStr">
        <is>
          <t>●</t>
        </is>
      </c>
      <c r="C12" s="39" t="inlineStr">
        <is>
          <t>RTTC (ITTC)</t>
        </is>
      </c>
      <c r="D12" s="40" t="inlineStr">
        <is>
          <t>时间类·接近程度</t>
        </is>
      </c>
      <c r="E12" s="41" t="inlineStr">
        <is>
          <t>RTTC = Δv ÷ d = 1 ÷ TTC（不在靠近时为 0）</t>
        </is>
      </c>
      <c r="F12" s="40" t="inlineStr">
        <is>
          <t>TTC 的倒数；不会出现无穷大，排序和求平均方便</t>
        </is>
      </c>
      <c r="G12" s="40" t="inlineStr">
        <is>
          <t>—</t>
        </is>
      </c>
      <c r="H12" s="40" t="inlineStr">
        <is>
          <t>1/s</t>
        </is>
      </c>
      <c r="I12" s="40" t="inlineStr">
        <is>
          <t>越大越危险</t>
        </is>
      </c>
      <c r="J12" s="40" t="inlineStr">
        <is>
          <t>—</t>
        </is>
      </c>
    </row>
    <row r="13">
      <c r="A13" s="43" t="inlineStr">
        <is>
          <t>追尾/跟车</t>
        </is>
      </c>
      <c r="B13" s="42" t="inlineStr">
        <is>
          <t>●</t>
        </is>
      </c>
      <c r="C13" s="39" t="inlineStr">
        <is>
          <t>MTTC</t>
        </is>
      </c>
      <c r="D13" s="40" t="inlineStr">
        <is>
          <t>时间类·接近程度</t>
        </is>
      </c>
      <c r="E13" s="41" t="inlineStr">
        <is>
          <t>解 d = Δv·t + ½·Δa·t²；MTTC = [−Δv + √(Δv² + 2·Δa·d)] ÷ Δa（取最小正根；Δa = 0 时等于 TTC）</t>
        </is>
      </c>
      <c r="F13" s="40" t="inlineStr">
        <is>
          <t>不假设匀速，假设两车各自保持现在的加速度，还剩几秒撞上</t>
        </is>
      </c>
      <c r="G13" s="40" t="inlineStr">
        <is>
          <t>—</t>
        </is>
      </c>
      <c r="H13" s="40" t="inlineStr">
        <is>
          <t>s</t>
        </is>
      </c>
      <c r="I13" s="40" t="inlineStr">
        <is>
          <t>越小越危险</t>
        </is>
      </c>
      <c r="J13" s="40" t="inlineStr">
        <is>
          <t>Ozbay 等 2008</t>
        </is>
      </c>
    </row>
    <row r="14">
      <c r="A14" s="43" t="inlineStr">
        <is>
          <t>追尾/跟车</t>
        </is>
      </c>
      <c r="B14" s="42" t="inlineStr">
        <is>
          <t>●</t>
        </is>
      </c>
      <c r="C14" s="39" t="inlineStr">
        <is>
          <t>THW</t>
        </is>
      </c>
      <c r="D14" s="40" t="inlineStr">
        <is>
          <t>时间类·接近程度</t>
        </is>
      </c>
      <c r="E14" s="41" t="inlineStr">
        <is>
          <t>THW = d ÷ v_F</t>
        </is>
      </c>
      <c r="F14" s="40" t="inlineStr">
        <is>
          <t>后车按现在的速度，几秒开到前车现在的位置；文献里间距定义不统一，要写明</t>
        </is>
      </c>
      <c r="G14" s="40" t="inlineStr">
        <is>
          <t>—</t>
        </is>
      </c>
      <c r="H14" s="40" t="inlineStr">
        <is>
          <t>s</t>
        </is>
      </c>
      <c r="I14" s="40" t="inlineStr">
        <is>
          <t>越小越危险</t>
        </is>
      </c>
      <c r="J14" s="40" t="inlineStr">
        <is>
          <t>经典定义（见 Westhofen 目录）</t>
        </is>
      </c>
    </row>
    <row r="15">
      <c r="A15" s="43" t="inlineStr">
        <is>
          <t>追尾/跟车</t>
        </is>
      </c>
      <c r="B15" s="42" t="inlineStr">
        <is>
          <t>●</t>
        </is>
      </c>
      <c r="C15" s="39" t="inlineStr">
        <is>
          <t>2D-TTC</t>
        </is>
      </c>
      <c r="D15" s="40" t="inlineStr">
        <is>
          <t>时间类·接近程度</t>
        </is>
      </c>
      <c r="E15" s="41" t="inlineStr">
        <is>
          <t>TTC_纵 = (s_纵 − L_前) ÷ Δv_纵；TTC_横 = (s_横 − W̄) ÷ Δv_横；2D-TTC = min(TTC_纵, TTC_横)（各自要求到那时另一个方向仍然重叠）。几何版：两车外框第一次重叠的时刻</t>
        </is>
      </c>
      <c r="F15" s="40" t="inlineStr">
        <is>
          <t>从后面追上还是从侧面刮蹭，取先发生的那个，还剩几秒</t>
        </is>
      </c>
      <c r="G15" s="40" t="inlineStr">
        <is>
          <t>—</t>
        </is>
      </c>
      <c r="H15" s="40" t="inlineStr">
        <is>
          <t>s</t>
        </is>
      </c>
      <c r="I15" s="40" t="inlineStr">
        <is>
          <t>越小越危险</t>
        </is>
      </c>
      <c r="J15" s="40" t="inlineStr">
        <is>
          <t>Guo、Xie &amp; Keyvan-Ekbatani 2023；演示脚本用的是几何版</t>
        </is>
      </c>
    </row>
    <row r="16">
      <c r="A16" s="43" t="inlineStr">
        <is>
          <t>追尾/跟车</t>
        </is>
      </c>
      <c r="B16" s="42" t="inlineStr">
        <is>
          <t>●</t>
        </is>
      </c>
      <c r="C16" s="39" t="inlineStr">
        <is>
          <t>ACT</t>
        </is>
      </c>
      <c r="D16" s="40" t="inlineStr">
        <is>
          <t>时间类·接近程度</t>
        </is>
      </c>
      <c r="E16" s="41" t="inlineStr">
        <is>
          <t>ACT = δ ÷ (δ 每秒缩短多少)；δ = 两车外框最短距离</t>
        </is>
      </c>
      <c r="F16" s="40" t="inlineStr">
        <is>
          <t>二维最短距离除以它的缩短速度；追尾、侧刮、对撞、斜角都能用</t>
        </is>
      </c>
      <c r="G16" s="40" t="inlineStr">
        <is>
          <t>—</t>
        </is>
      </c>
      <c r="H16" s="40" t="inlineStr">
        <is>
          <t>s</t>
        </is>
      </c>
      <c r="I16" s="40" t="inlineStr">
        <is>
          <t>越小越危险</t>
        </is>
      </c>
      <c r="J16" s="40" t="inlineStr">
        <is>
          <t>Venthuruthiyil &amp; Chunchu 2022</t>
        </is>
      </c>
    </row>
    <row r="17">
      <c r="A17" s="43" t="inlineStr">
        <is>
          <t>追尾/跟车</t>
        </is>
      </c>
      <c r="B17" s="42" t="inlineStr">
        <is>
          <t>●</t>
        </is>
      </c>
      <c r="C17" s="39" t="inlineStr">
        <is>
          <t>TTB</t>
        </is>
      </c>
      <c r="D17" s="40" t="inlineStr">
        <is>
          <t>时间类·避让时机</t>
        </is>
      </c>
      <c r="E17" s="41" t="inlineStr">
        <is>
          <t>TTB = TTC − Δv ÷ (2·a_max)（前车匀速、后车以最大减速度刹车时的化简式；小于 0 记为 −∞）</t>
        </is>
      </c>
      <c r="F17" s="40" t="inlineStr">
        <is>
          <t>最晚还能等几秒再刹车，并且仍然能避免碰撞</t>
        </is>
      </c>
      <c r="G17" s="40" t="inlineStr">
        <is>
          <t>最大减速度 a_max</t>
        </is>
      </c>
      <c r="H17" s="40" t="inlineStr">
        <is>
          <t>s</t>
        </is>
      </c>
      <c r="I17" s="40" t="inlineStr">
        <is>
          <t>越小越危险</t>
        </is>
      </c>
      <c r="J17" s="40" t="inlineStr">
        <is>
          <t>TTM 定义（Westhofen 目录）；化简式按定义推导</t>
        </is>
      </c>
    </row>
    <row r="18">
      <c r="A18" s="43" t="inlineStr">
        <is>
          <t>追尾/跟车</t>
        </is>
      </c>
      <c r="B18" s="42" t="inlineStr">
        <is>
          <t>●</t>
        </is>
      </c>
      <c r="C18" s="39" t="inlineStr">
        <is>
          <t>TTS</t>
        </is>
      </c>
      <c r="D18" s="40" t="inlineStr">
        <is>
          <t>时间类·避让时机</t>
        </is>
      </c>
      <c r="E18" s="41" t="inlineStr">
        <is>
          <t>y_req = (W_F + W_L) ÷ 2 − |横向偏移|；TTS = TTC − √(2·y_req ÷ a_lat,max)</t>
        </is>
      </c>
      <c r="F18" s="40" t="inlineStr">
        <is>
          <t>最晚还能等几秒再打方向，并且仍然能避免碰撞</t>
        </is>
      </c>
      <c r="G18" s="40" t="inlineStr">
        <is>
          <t>最大横向加速度 a_lat,max</t>
        </is>
      </c>
      <c r="H18" s="40" t="inlineStr">
        <is>
          <t>s</t>
        </is>
      </c>
      <c r="I18" s="40" t="inlineStr">
        <is>
          <t>越小越危险</t>
        </is>
      </c>
      <c r="J18" s="40" t="inlineStr">
        <is>
          <t>TTM 定义（Westhofen 目录）；化简式按定义推导</t>
        </is>
      </c>
    </row>
    <row r="19" s="26">
      <c r="A19" s="43" t="inlineStr">
        <is>
          <t>追尾/跟车</t>
        </is>
      </c>
      <c r="B19" s="42" t="inlineStr">
        <is>
          <t>●</t>
        </is>
      </c>
      <c r="C19" s="39" t="inlineStr">
        <is>
          <t>PICUD</t>
        </is>
      </c>
      <c r="D19" s="40" t="inlineStr">
        <is>
          <t>距离类</t>
        </is>
      </c>
      <c r="E19" s="41" t="inlineStr">
        <is>
          <t>PICUD = v_L² ÷ (2a) + d − [v_F·τ + v_F² ÷ (2a)]</t>
        </is>
      </c>
      <c r="F19" s="40" t="inlineStr">
        <is>
          <t>前车以 a 急刹，自车反应 τ 秒后也以 a 急刹；两车都停下后还剩的距离，小于 0 表示会撞</t>
        </is>
      </c>
      <c r="G19" s="40" t="inlineStr">
        <is>
          <t>反应时间 τ、急刹减速度 a</t>
        </is>
      </c>
      <c r="H19" s="40" t="inlineStr">
        <is>
          <t>m</t>
        </is>
      </c>
      <c r="I19" s="40" t="inlineStr">
        <is>
          <t>越小越危险</t>
        </is>
      </c>
      <c r="J19" s="40" t="inlineStr">
        <is>
          <t>Uno 等 2002</t>
        </is>
      </c>
    </row>
    <row r="20" s="26">
      <c r="A20" s="43" t="inlineStr">
        <is>
          <t>追尾/跟车</t>
        </is>
      </c>
      <c r="B20" s="42" t="inlineStr">
        <is>
          <t>●</t>
        </is>
      </c>
      <c r="C20" s="39" t="inlineStr">
        <is>
          <t>RCRI</t>
        </is>
      </c>
      <c r="D20" s="40" t="inlineStr">
        <is>
          <t>距离类</t>
        </is>
      </c>
      <c r="E20" s="41" t="inlineStr">
        <is>
          <t>SSD_L = d + v_L² ÷ (2·a_max)；SSD_F = v_F·τ + v_F² ÷ (2·a_max)；RCRI = 1（危险）若 SSD_F ≥ SSD_L，否则 0</t>
        </is>
      </c>
      <c r="F20" s="40" t="inlineStr">
        <is>
          <t>比较两车停下的位置，只输出危险 / 不危险</t>
        </is>
      </c>
      <c r="G20" s="40" t="inlineStr">
        <is>
          <t>反应时间 τ、最大减速度 a_max</t>
        </is>
      </c>
      <c r="H20" s="40" t="inlineStr">
        <is>
          <t>0 / 1</t>
        </is>
      </c>
      <c r="I20" s="40" t="inlineStr">
        <is>
          <t>1 表示危险</t>
        </is>
      </c>
      <c r="J20" s="40" t="inlineStr">
        <is>
          <t>Oh 等 2006</t>
        </is>
      </c>
    </row>
    <row r="21" s="26">
      <c r="A21" s="43" t="inlineStr">
        <is>
          <t>追尾/跟车</t>
        </is>
      </c>
      <c r="B21" s="42" t="inlineStr">
        <is>
          <t>●</t>
        </is>
      </c>
      <c r="C21" s="39" t="inlineStr">
        <is>
          <t>DRAC</t>
        </is>
      </c>
      <c r="D21" s="40" t="inlineStr">
        <is>
          <t>减速度类</t>
        </is>
      </c>
      <c r="E21" s="41" t="inlineStr">
        <is>
          <t>DRAC = Δv² ÷ (2·d)（不在靠近时为 0）</t>
        </is>
      </c>
      <c r="F21" s="40" t="inlineStr">
        <is>
          <t>在间距用完之前把接近速度降到 0，后车至少要多大的减速度</t>
        </is>
      </c>
      <c r="G21" s="40" t="inlineStr">
        <is>
          <t>—</t>
        </is>
      </c>
      <c r="H21" s="40" t="inlineStr">
        <is>
          <t>m/s²</t>
        </is>
      </c>
      <c r="I21" s="40" t="inlineStr">
        <is>
          <t>越大越危险</t>
        </is>
      </c>
      <c r="J21" s="40" t="inlineStr">
        <is>
          <t>Almqvist 等 1991</t>
        </is>
      </c>
    </row>
    <row r="22" s="26">
      <c r="A22" s="43" t="inlineStr">
        <is>
          <t>追尾/跟车</t>
        </is>
      </c>
      <c r="B22" s="42" t="inlineStr">
        <is>
          <t>●</t>
        </is>
      </c>
      <c r="C22" s="39" t="inlineStr">
        <is>
          <t>DST</t>
        </is>
      </c>
      <c r="D22" s="40" t="inlineStr">
        <is>
          <t>减速度类</t>
        </is>
      </c>
      <c r="E22" s="41" t="inlineStr">
        <is>
          <t>DST = Δv² ÷ [2·(d − v_L·t_s)]</t>
        </is>
      </c>
      <c r="F22" s="40" t="inlineStr">
        <is>
          <t>不只是不撞，还要留出 t_s 秒安全时距，所需要的减速度</t>
        </is>
      </c>
      <c r="G22" s="40" t="inlineStr">
        <is>
          <t>安全时距 t_s（NHTSA 那篇用 1.4 s）</t>
        </is>
      </c>
      <c r="H22" s="40" t="inlineStr">
        <is>
          <t>m/s²</t>
        </is>
      </c>
      <c r="I22" s="40" t="inlineStr">
        <is>
          <t>越大越危险</t>
        </is>
      </c>
      <c r="J22" s="40" t="inlineStr">
        <is>
          <t>Hupfer 1997（见 Westhofen 目录）</t>
        </is>
      </c>
    </row>
    <row r="23" s="26">
      <c r="A23" s="43" t="inlineStr">
        <is>
          <t>追尾/跟车</t>
        </is>
      </c>
      <c r="B23" s="42" t="inlineStr">
        <is>
          <t>●</t>
        </is>
      </c>
      <c r="C23" s="39" t="inlineStr">
        <is>
          <t>CPI</t>
        </is>
      </c>
      <c r="D23" s="40" t="inlineStr">
        <is>
          <t>减速度类</t>
        </is>
      </c>
      <c r="E23" s="41" t="inlineStr">
        <is>
          <t>CPI = (1 ÷ T) × Σ_t P(DRAC(t) &gt; MADR) × Δt × b(t)（b(t) 在两车靠近时为 1）</t>
        </is>
      </c>
      <c r="F23" s="40" t="inlineStr">
        <is>
          <t>每一刻"需要的减速度超过车辆刹车能力"的概率，按时间累加再平均</t>
        </is>
      </c>
      <c r="G23" s="40" t="inlineStr">
        <is>
          <t>最大可用减速度 MADR 的分布</t>
        </is>
      </c>
      <c r="H23" s="40" t="inlineStr">
        <is>
          <t>0–1</t>
        </is>
      </c>
      <c r="I23" s="40" t="inlineStr">
        <is>
          <t>越大越危险</t>
        </is>
      </c>
      <c r="J23" s="40" t="inlineStr">
        <is>
          <t>Cunto &amp; Saccomanno 2008</t>
        </is>
      </c>
    </row>
    <row r="24" s="26">
      <c r="A24" s="43" t="inlineStr">
        <is>
          <t>追尾/跟车</t>
        </is>
      </c>
      <c r="B24" s="42" t="inlineStr">
        <is>
          <t>●</t>
        </is>
      </c>
      <c r="C24" s="39" t="inlineStr">
        <is>
          <t>delta-V</t>
        </is>
      </c>
      <c r="D24" s="40" t="inlineStr">
        <is>
          <t>严重度类</t>
        </is>
      </c>
      <c r="E24" s="41" t="inlineStr">
        <is>
          <t>ΔV_F = m_L ÷ (m_F + m_L) × |v_F − v_L|（v 为速度向量）</t>
        </is>
      </c>
      <c r="F24" s="40" t="inlineStr">
        <is>
          <t>假设撞上后两车粘在一起，各自的速度一下子变多少；轻的一方变化大</t>
        </is>
      </c>
      <c r="G24" s="40" t="inlineStr">
        <is>
          <t>车辆质量（按车型或外框大小估）</t>
        </is>
      </c>
      <c r="H24" s="40" t="inlineStr">
        <is>
          <t>m/s</t>
        </is>
      </c>
      <c r="I24" s="40" t="inlineStr">
        <is>
          <t>越大越严重</t>
        </is>
      </c>
      <c r="J24" s="40" t="inlineStr">
        <is>
          <t>事故重建；Shelby 2011；Extended Delta-V 见 Laureshyn 2017</t>
        </is>
      </c>
    </row>
    <row r="25" s="26">
      <c r="A25" s="43" t="inlineStr">
        <is>
          <t>追尾/跟车</t>
        </is>
      </c>
      <c r="B25" s="42" t="inlineStr">
        <is>
          <t>●</t>
        </is>
      </c>
      <c r="C25" s="39" t="inlineStr">
        <is>
          <t>CI</t>
        </is>
      </c>
      <c r="D25" s="40" t="inlineStr">
        <is>
          <t>严重度类</t>
        </is>
      </c>
      <c r="E25" s="41" t="inlineStr">
        <is>
          <t>CI = [(v_F + a_F·MTTC)² − (v_L + a_L·MTTC)²] ÷ 2 × 1 ÷ MTTC</t>
        </is>
      </c>
      <c r="F25" s="40" t="inlineStr">
        <is>
          <t>到撞上那一刻两车速度平方差（碰撞能量）除以还剩的时间；常见引用写法，需核对原文</t>
        </is>
      </c>
      <c r="G25" s="40" t="inlineStr">
        <is>
          <t>—</t>
        </is>
      </c>
      <c r="H25" s="40" t="inlineStr">
        <is>
          <t>m²/s³</t>
        </is>
      </c>
      <c r="I25" s="40" t="inlineStr">
        <is>
          <t>越大越危险</t>
        </is>
      </c>
      <c r="J25" s="40" t="inlineStr">
        <is>
          <t>Ozbay 等 2008（已对照原文 Eq. 7 核实）</t>
        </is>
      </c>
    </row>
    <row r="26" s="26">
      <c r="A26" s="43" t="inlineStr">
        <is>
          <t>追尾/跟车</t>
        </is>
      </c>
      <c r="B26" s="42" t="inlineStr">
        <is>
          <t>●</t>
        </is>
      </c>
      <c r="C26" s="39" t="inlineStr">
        <is>
          <t>MPrISM</t>
        </is>
      </c>
      <c r="D26" s="40" t="inlineStr">
        <is>
          <t>模型预测类</t>
        </is>
      </c>
      <c r="E26" s="41" t="inlineStr">
        <is>
          <t>h* = min(对方动作) max(自车动作) 第 n 步两车距离；MPrTTC = 第一个使 h* ≤ C 的时刻</t>
        </is>
      </c>
      <c r="F26" s="40" t="inlineStr">
        <is>
          <t>对方尽量往你身上撞、你尽量躲的最坏情况下，几秒后会撞上；预测时长内撞不上算安全</t>
        </is>
      </c>
      <c r="G26" s="40" t="inlineStr">
        <is>
          <t>车辆运动模型、动作范围、预测时长、碰撞距离 C（原文：1 s、2 m）</t>
        </is>
      </c>
      <c r="H26" s="40" t="inlineStr">
        <is>
          <t>s</t>
        </is>
      </c>
      <c r="I26" s="40" t="inlineStr">
        <is>
          <t>越小越危险</t>
        </is>
      </c>
      <c r="J26" s="40" t="inlineStr">
        <is>
          <t>Weng 等 2020</t>
        </is>
      </c>
    </row>
    <row r="27" s="26">
      <c r="A27" s="43" t="inlineStr">
        <is>
          <t>追尾/跟车</t>
        </is>
      </c>
      <c r="B27" s="42" t="inlineStr">
        <is>
          <t>○</t>
        </is>
      </c>
      <c r="C27" s="39" t="inlineStr">
        <is>
          <t>速度 v</t>
        </is>
      </c>
      <c r="D27" s="40" t="inlineStr">
        <is>
          <t>原始运动学量</t>
        </is>
      </c>
      <c r="E27" s="41" t="inlineStr">
        <is>
          <t>v = √(v_x² + v_y²)</t>
        </is>
      </c>
      <c r="F27" s="40" t="inlineStr">
        <is>
          <t>车开多快；本身不是冲突指标，但决定一旦碰撞有多严重</t>
        </is>
      </c>
      <c r="G27" s="40" t="inlineStr">
        <is>
          <t>—</t>
        </is>
      </c>
      <c r="H27" s="40" t="inlineStr">
        <is>
          <t>m/s</t>
        </is>
      </c>
      <c r="I27" s="40" t="inlineStr">
        <is>
          <t>越大越严重（严重度）</t>
        </is>
      </c>
      <c r="J27" s="40" t="inlineStr">
        <is>
          <t>—</t>
        </is>
      </c>
    </row>
    <row r="28" s="26">
      <c r="A28" s="43" t="inlineStr">
        <is>
          <t>追尾/跟车</t>
        </is>
      </c>
      <c r="B28" s="42" t="inlineStr">
        <is>
          <t>○</t>
        </is>
      </c>
      <c r="C28" s="39" t="inlineStr">
        <is>
          <t>加加速度 jerk</t>
        </is>
      </c>
      <c r="D28" s="40" t="inlineStr">
        <is>
          <t>原始运动学量</t>
        </is>
      </c>
      <c r="E28" s="41" t="inlineStr">
        <is>
          <t>jerk = da ÷ dt</t>
        </is>
      </c>
      <c r="F28" s="40" t="inlineStr">
        <is>
          <t>加速度变化得有多突然，例如猛踩刹车</t>
        </is>
      </c>
      <c r="G28" s="40" t="inlineStr">
        <is>
          <t>—</t>
        </is>
      </c>
      <c r="H28" s="40" t="inlineStr">
        <is>
          <t>m/s³</t>
        </is>
      </c>
      <c r="I28" s="40" t="inlineStr">
        <is>
          <t>绝对值越大越危险</t>
        </is>
      </c>
      <c r="J28" s="40" t="inlineStr">
        <is>
          <t>—</t>
        </is>
      </c>
    </row>
    <row r="29" s="26">
      <c r="A29" s="43" t="inlineStr">
        <is>
          <t>追尾/跟车</t>
        </is>
      </c>
      <c r="B29" s="42" t="inlineStr">
        <is>
          <t>○</t>
        </is>
      </c>
      <c r="C29" s="39" t="inlineStr">
        <is>
          <t>PSD</t>
        </is>
      </c>
      <c r="D29" s="40" t="inlineStr">
        <is>
          <t>距离类</t>
        </is>
      </c>
      <c r="E29" s="41" t="inlineStr">
        <is>
          <t>PSD = 到冲突点的剩余距离 ÷ [v² ÷ (2·a_max)]</t>
        </is>
      </c>
      <c r="F29" s="40" t="inlineStr">
        <is>
          <t>剩下的距离够不够停车；小于 1 表示刹不住</t>
        </is>
      </c>
      <c r="G29" s="40" t="inlineStr">
        <is>
          <t>最大可接受减速度 a_max</t>
        </is>
      </c>
      <c r="H29" s="40" t="inlineStr">
        <is>
          <t>无单位</t>
        </is>
      </c>
      <c r="I29" s="40" t="inlineStr">
        <is>
          <t>越小越危险</t>
        </is>
      </c>
      <c r="J29" s="40" t="inlineStr">
        <is>
          <t>Allen 等 1978</t>
        </is>
      </c>
    </row>
    <row r="30" s="26">
      <c r="A30" s="44" t="inlineStr">
        <is>
          <t>变道/侧刮</t>
        </is>
      </c>
      <c r="B30" s="42" t="inlineStr">
        <is>
          <t>●</t>
        </is>
      </c>
      <c r="C30" s="39" t="inlineStr">
        <is>
          <t>最近距离 δ</t>
        </is>
      </c>
      <c r="D30" s="40" t="inlineStr">
        <is>
          <t>原始运动学量</t>
        </is>
      </c>
      <c r="E30" s="41" t="inlineStr">
        <is>
          <t>δ = 两车外框（矩形）之间的最短距离</t>
        </is>
      </c>
      <c r="F30" s="40" t="inlineStr">
        <is>
          <t>不分方向，两车车身最近的地方隔多远</t>
        </is>
      </c>
      <c r="G30" s="40" t="inlineStr">
        <is>
          <t>—</t>
        </is>
      </c>
      <c r="H30" s="40" t="inlineStr">
        <is>
          <t>m</t>
        </is>
      </c>
      <c r="I30" s="40" t="inlineStr">
        <is>
          <t>越小越危险</t>
        </is>
      </c>
      <c r="J30" s="40" t="inlineStr">
        <is>
          <t>—</t>
        </is>
      </c>
    </row>
    <row r="31" s="26">
      <c r="A31" s="44" t="inlineStr">
        <is>
          <t>变道/侧刮</t>
        </is>
      </c>
      <c r="B31" s="42" t="inlineStr">
        <is>
          <t>●</t>
        </is>
      </c>
      <c r="C31" s="39" t="inlineStr">
        <is>
          <t>横向间距</t>
        </is>
      </c>
      <c r="D31" s="40" t="inlineStr">
        <is>
          <t>原始运动学量</t>
        </is>
      </c>
      <c r="E31" s="41" t="inlineStr">
        <is>
          <t>横向间距 = |横向偏移| − (W_F + W_L) ÷ 2</t>
        </is>
      </c>
      <c r="F31" s="40" t="inlineStr">
        <is>
          <t>并排时两车侧面之间隔多远；负数表示横向已经重叠</t>
        </is>
      </c>
      <c r="G31" s="40" t="inlineStr">
        <is>
          <t>—</t>
        </is>
      </c>
      <c r="H31" s="40" t="inlineStr">
        <is>
          <t>m</t>
        </is>
      </c>
      <c r="I31" s="40" t="inlineStr">
        <is>
          <t>越小越危险</t>
        </is>
      </c>
      <c r="J31" s="40" t="inlineStr">
        <is>
          <t>—</t>
        </is>
      </c>
    </row>
    <row r="32" s="26">
      <c r="A32" s="44" t="inlineStr">
        <is>
          <t>变道/侧刮</t>
        </is>
      </c>
      <c r="B32" s="42" t="inlineStr">
        <is>
          <t>●</t>
        </is>
      </c>
      <c r="C32" s="39" t="inlineStr">
        <is>
          <t>接近速度 Δv</t>
        </is>
      </c>
      <c r="D32" s="40" t="inlineStr">
        <is>
          <t>原始运动学量</t>
        </is>
      </c>
      <c r="E32" s="41" t="inlineStr">
        <is>
          <t>Δv = v_F − v_L（纵向）；二维时 = 两车最短距离 δ 每秒缩短多少</t>
        </is>
      </c>
      <c r="F32" s="40" t="inlineStr">
        <is>
          <t>两车正以多快的速度靠近；大于 0 表示在靠近</t>
        </is>
      </c>
      <c r="G32" s="40" t="inlineStr">
        <is>
          <t>—</t>
        </is>
      </c>
      <c r="H32" s="40" t="inlineStr">
        <is>
          <t>m/s</t>
        </is>
      </c>
      <c r="I32" s="40" t="inlineStr">
        <is>
          <t>越大越危险</t>
        </is>
      </c>
      <c r="J32" s="40" t="inlineStr">
        <is>
          <t>—</t>
        </is>
      </c>
    </row>
    <row r="33" s="26">
      <c r="A33" s="44" t="inlineStr">
        <is>
          <t>变道/侧刮</t>
        </is>
      </c>
      <c r="B33" s="42" t="inlineStr">
        <is>
          <t>●</t>
        </is>
      </c>
      <c r="C33" s="39" t="inlineStr">
        <is>
          <t>横向加速度 a_lat</t>
        </is>
      </c>
      <c r="D33" s="40" t="inlineStr">
        <is>
          <t>原始运动学量</t>
        </is>
      </c>
      <c r="E33" s="41" t="inlineStr">
        <is>
          <t>a_lat = v × ω ≈ v² ÷ R（R 为转弯半径）</t>
        </is>
      </c>
      <c r="F33" s="40" t="inlineStr">
        <is>
          <t>转向有多急，例如急打方向、急变道</t>
        </is>
      </c>
      <c r="G33" s="40" t="inlineStr">
        <is>
          <t>—</t>
        </is>
      </c>
      <c r="H33" s="40" t="inlineStr">
        <is>
          <t>m/s²</t>
        </is>
      </c>
      <c r="I33" s="40" t="inlineStr">
        <is>
          <t>绝对值越大越危险</t>
        </is>
      </c>
      <c r="J33" s="40" t="inlineStr">
        <is>
          <t>—</t>
        </is>
      </c>
    </row>
    <row r="34" s="26">
      <c r="A34" s="44" t="inlineStr">
        <is>
          <t>变道/侧刮</t>
        </is>
      </c>
      <c r="B34" s="42" t="inlineStr">
        <is>
          <t>●</t>
        </is>
      </c>
      <c r="C34" s="39" t="inlineStr">
        <is>
          <t>横摆角速度 ω</t>
        </is>
      </c>
      <c r="D34" s="40" t="inlineStr">
        <is>
          <t>原始运动学量</t>
        </is>
      </c>
      <c r="E34" s="41" t="inlineStr">
        <is>
          <t>ω = dθ ÷ dt（θ 为车头朝向）</t>
        </is>
      </c>
      <c r="F34" s="40" t="inlineStr">
        <is>
          <t>车头转得有多快，反映突然打方向</t>
        </is>
      </c>
      <c r="G34" s="40" t="inlineStr">
        <is>
          <t>—</t>
        </is>
      </c>
      <c r="H34" s="40" t="inlineStr">
        <is>
          <t>rad/s</t>
        </is>
      </c>
      <c r="I34" s="40" t="inlineStr">
        <is>
          <t>绝对值越大越危险</t>
        </is>
      </c>
      <c r="J34" s="40" t="inlineStr">
        <is>
          <t>—</t>
        </is>
      </c>
    </row>
    <row r="35" s="26">
      <c r="A35" s="44" t="inlineStr">
        <is>
          <t>变道/侧刮</t>
        </is>
      </c>
      <c r="B35" s="42" t="inlineStr">
        <is>
          <t>●</t>
        </is>
      </c>
      <c r="C35" s="39" t="inlineStr">
        <is>
          <t>2D-TTC</t>
        </is>
      </c>
      <c r="D35" s="40" t="inlineStr">
        <is>
          <t>时间类·接近程度</t>
        </is>
      </c>
      <c r="E35" s="41" t="inlineStr">
        <is>
          <t>TTC_纵 = (s_纵 − L_前) ÷ Δv_纵；TTC_横 = (s_横 − W̄) ÷ Δv_横；2D-TTC = min(TTC_纵, TTC_横)（各自要求到那时另一个方向仍然重叠）。几何版：两车外框第一次重叠的时刻</t>
        </is>
      </c>
      <c r="F35" s="40" t="inlineStr">
        <is>
          <t>从后面追上还是从侧面刮蹭，取先发生的那个，还剩几秒</t>
        </is>
      </c>
      <c r="G35" s="40" t="inlineStr">
        <is>
          <t>—</t>
        </is>
      </c>
      <c r="H35" s="40" t="inlineStr">
        <is>
          <t>s</t>
        </is>
      </c>
      <c r="I35" s="40" t="inlineStr">
        <is>
          <t>越小越危险</t>
        </is>
      </c>
      <c r="J35" s="40" t="inlineStr">
        <is>
          <t>Guo、Xie &amp; Keyvan-Ekbatani 2023；演示脚本用的是几何版</t>
        </is>
      </c>
    </row>
    <row r="36" s="26">
      <c r="A36" s="44" t="inlineStr">
        <is>
          <t>变道/侧刮</t>
        </is>
      </c>
      <c r="B36" s="42" t="inlineStr">
        <is>
          <t>●</t>
        </is>
      </c>
      <c r="C36" s="39" t="inlineStr">
        <is>
          <t>ACT</t>
        </is>
      </c>
      <c r="D36" s="40" t="inlineStr">
        <is>
          <t>时间类·接近程度</t>
        </is>
      </c>
      <c r="E36" s="41" t="inlineStr">
        <is>
          <t>ACT = δ ÷ (δ 每秒缩短多少)；δ = 两车外框最短距离</t>
        </is>
      </c>
      <c r="F36" s="40" t="inlineStr">
        <is>
          <t>二维最短距离除以它的缩短速度；追尾、侧刮、对撞、斜角都能用</t>
        </is>
      </c>
      <c r="G36" s="40" t="inlineStr">
        <is>
          <t>—</t>
        </is>
      </c>
      <c r="H36" s="40" t="inlineStr">
        <is>
          <t>s</t>
        </is>
      </c>
      <c r="I36" s="40" t="inlineStr">
        <is>
          <t>越小越危险</t>
        </is>
      </c>
      <c r="J36" s="40" t="inlineStr">
        <is>
          <t>Venthuruthiyil &amp; Chunchu 2022</t>
        </is>
      </c>
    </row>
    <row r="37" s="26">
      <c r="A37" s="44" t="inlineStr">
        <is>
          <t>变道/侧刮</t>
        </is>
      </c>
      <c r="B37" s="42" t="inlineStr">
        <is>
          <t>●</t>
        </is>
      </c>
      <c r="C37" s="39" t="inlineStr">
        <is>
          <t>MPrISM</t>
        </is>
      </c>
      <c r="D37" s="40" t="inlineStr">
        <is>
          <t>模型预测类</t>
        </is>
      </c>
      <c r="E37" s="41" t="inlineStr">
        <is>
          <t>h* = min(对方动作) max(自车动作) 第 n 步两车距离；MPrTTC = 第一个使 h* ≤ C 的时刻</t>
        </is>
      </c>
      <c r="F37" s="40" t="inlineStr">
        <is>
          <t>对方尽量往你身上撞、你尽量躲的最坏情况下，几秒后会撞上；预测时长内撞不上算安全</t>
        </is>
      </c>
      <c r="G37" s="40" t="inlineStr">
        <is>
          <t>车辆运动模型、动作范围、预测时长、碰撞距离 C（原文：1 s、2 m）</t>
        </is>
      </c>
      <c r="H37" s="40" t="inlineStr">
        <is>
          <t>s</t>
        </is>
      </c>
      <c r="I37" s="40" t="inlineStr">
        <is>
          <t>越小越危险</t>
        </is>
      </c>
      <c r="J37" s="40" t="inlineStr">
        <is>
          <t>Weng 等 2020</t>
        </is>
      </c>
    </row>
    <row r="38" s="26">
      <c r="A38" s="44" t="inlineStr">
        <is>
          <t>变道/侧刮</t>
        </is>
      </c>
      <c r="B38" s="42" t="inlineStr">
        <is>
          <t>○</t>
        </is>
      </c>
      <c r="C38" s="39" t="inlineStr">
        <is>
          <t>间距 d</t>
        </is>
      </c>
      <c r="D38" s="40" t="inlineStr">
        <is>
          <t>原始运动学量</t>
        </is>
      </c>
      <c r="E38" s="41" t="inlineStr">
        <is>
          <t>d = 前车车尾纵向位置 − 后车车头纵向位置</t>
        </is>
      </c>
      <c r="F38" s="40" t="inlineStr">
        <is>
          <t>沿行驶方向两车之间还隔多远；最基础的接近程度指标</t>
        </is>
      </c>
      <c r="G38" s="40" t="inlineStr">
        <is>
          <t>—</t>
        </is>
      </c>
      <c r="H38" s="40" t="inlineStr">
        <is>
          <t>m</t>
        </is>
      </c>
      <c r="I38" s="40" t="inlineStr">
        <is>
          <t>越小越危险</t>
        </is>
      </c>
      <c r="J38" s="40" t="inlineStr">
        <is>
          <t>—</t>
        </is>
      </c>
    </row>
    <row r="39" s="26">
      <c r="A39" s="44" t="inlineStr">
        <is>
          <t>变道/侧刮</t>
        </is>
      </c>
      <c r="B39" s="42" t="inlineStr">
        <is>
          <t>○</t>
        </is>
      </c>
      <c r="C39" s="39" t="inlineStr">
        <is>
          <t>速度 v</t>
        </is>
      </c>
      <c r="D39" s="40" t="inlineStr">
        <is>
          <t>原始运动学量</t>
        </is>
      </c>
      <c r="E39" s="41" t="inlineStr">
        <is>
          <t>v = √(v_x² + v_y²)</t>
        </is>
      </c>
      <c r="F39" s="40" t="inlineStr">
        <is>
          <t>车开多快；本身不是冲突指标，但决定一旦碰撞有多严重</t>
        </is>
      </c>
      <c r="G39" s="40" t="inlineStr">
        <is>
          <t>—</t>
        </is>
      </c>
      <c r="H39" s="40" t="inlineStr">
        <is>
          <t>m/s</t>
        </is>
      </c>
      <c r="I39" s="40" t="inlineStr">
        <is>
          <t>越大越严重（严重度）</t>
        </is>
      </c>
      <c r="J39" s="40" t="inlineStr">
        <is>
          <t>—</t>
        </is>
      </c>
    </row>
    <row r="40" s="26">
      <c r="A40" s="44" t="inlineStr">
        <is>
          <t>变道/侧刮</t>
        </is>
      </c>
      <c r="B40" s="42" t="inlineStr">
        <is>
          <t>○</t>
        </is>
      </c>
      <c r="C40" s="39" t="inlineStr">
        <is>
          <t>加加速度 jerk</t>
        </is>
      </c>
      <c r="D40" s="40" t="inlineStr">
        <is>
          <t>原始运动学量</t>
        </is>
      </c>
      <c r="E40" s="41" t="inlineStr">
        <is>
          <t>jerk = da ÷ dt</t>
        </is>
      </c>
      <c r="F40" s="40" t="inlineStr">
        <is>
          <t>加速度变化得有多突然，例如猛踩刹车</t>
        </is>
      </c>
      <c r="G40" s="40" t="inlineStr">
        <is>
          <t>—</t>
        </is>
      </c>
      <c r="H40" s="40" t="inlineStr">
        <is>
          <t>m/s³</t>
        </is>
      </c>
      <c r="I40" s="40" t="inlineStr">
        <is>
          <t>绝对值越大越危险</t>
        </is>
      </c>
      <c r="J40" s="40" t="inlineStr">
        <is>
          <t>—</t>
        </is>
      </c>
    </row>
    <row r="41" s="26">
      <c r="A41" s="44" t="inlineStr">
        <is>
          <t>变道/侧刮</t>
        </is>
      </c>
      <c r="B41" s="42" t="inlineStr">
        <is>
          <t>○</t>
        </is>
      </c>
      <c r="C41" s="39" t="inlineStr">
        <is>
          <t>TTC</t>
        </is>
      </c>
      <c r="D41" s="40" t="inlineStr">
        <is>
          <t>时间类·接近程度</t>
        </is>
      </c>
      <c r="E41" s="41" t="inlineStr">
        <is>
          <t>TTC = d ÷ Δv（Δv &gt; 0；否则记为 ∞）</t>
        </is>
      </c>
      <c r="F41" s="40" t="inlineStr">
        <is>
          <t>两车都保持现在的速度，还剩几秒撞上</t>
        </is>
      </c>
      <c r="G41" s="40" t="inlineStr">
        <is>
          <t>—</t>
        </is>
      </c>
      <c r="H41" s="40" t="inlineStr">
        <is>
          <t>s</t>
        </is>
      </c>
      <c r="I41" s="40" t="inlineStr">
        <is>
          <t>越小越危险</t>
        </is>
      </c>
      <c r="J41" s="40" t="inlineStr">
        <is>
          <t>Hayward 1972</t>
        </is>
      </c>
    </row>
    <row r="42" s="26">
      <c r="A42" s="44" t="inlineStr">
        <is>
          <t>变道/侧刮</t>
        </is>
      </c>
      <c r="B42" s="42" t="inlineStr">
        <is>
          <t>○</t>
        </is>
      </c>
      <c r="C42" s="39" t="inlineStr">
        <is>
          <t>RTTC (ITTC)</t>
        </is>
      </c>
      <c r="D42" s="40" t="inlineStr">
        <is>
          <t>时间类·接近程度</t>
        </is>
      </c>
      <c r="E42" s="41" t="inlineStr">
        <is>
          <t>RTTC = Δv ÷ d = 1 ÷ TTC（不在靠近时为 0）</t>
        </is>
      </c>
      <c r="F42" s="40" t="inlineStr">
        <is>
          <t>TTC 的倒数；不会出现无穷大，排序和求平均方便</t>
        </is>
      </c>
      <c r="G42" s="40" t="inlineStr">
        <is>
          <t>—</t>
        </is>
      </c>
      <c r="H42" s="40" t="inlineStr">
        <is>
          <t>1/s</t>
        </is>
      </c>
      <c r="I42" s="40" t="inlineStr">
        <is>
          <t>越大越危险</t>
        </is>
      </c>
      <c r="J42" s="40" t="inlineStr">
        <is>
          <t>—</t>
        </is>
      </c>
    </row>
    <row r="43" s="26">
      <c r="A43" s="44" t="inlineStr">
        <is>
          <t>变道/侧刮</t>
        </is>
      </c>
      <c r="B43" s="42" t="inlineStr">
        <is>
          <t>○</t>
        </is>
      </c>
      <c r="C43" s="39" t="inlineStr">
        <is>
          <t>PET</t>
        </is>
      </c>
      <c r="D43" s="40" t="inlineStr">
        <is>
          <t>时间类·接近程度</t>
        </is>
      </c>
      <c r="E43" s="41" t="inlineStr">
        <is>
          <t>PET = t_后到者进入冲突区 − t_先到者离开冲突区</t>
        </is>
      </c>
      <c r="F43" s="40" t="inlineStr">
        <is>
          <t>两个人实际先后经过同一块区域，相差几秒</t>
        </is>
      </c>
      <c r="G43" s="40" t="inlineStr">
        <is>
          <t>冲突区的定义</t>
        </is>
      </c>
      <c r="H43" s="40" t="inlineStr">
        <is>
          <t>s</t>
        </is>
      </c>
      <c r="I43" s="40" t="inlineStr">
        <is>
          <t>越小越危险</t>
        </is>
      </c>
      <c r="J43" s="40" t="inlineStr">
        <is>
          <t>Allen 等 1978</t>
        </is>
      </c>
    </row>
    <row r="44" s="26">
      <c r="A44" s="44" t="inlineStr">
        <is>
          <t>变道/侧刮</t>
        </is>
      </c>
      <c r="B44" s="42" t="inlineStr">
        <is>
          <t>○</t>
        </is>
      </c>
      <c r="C44" s="39" t="inlineStr">
        <is>
          <t>GT</t>
        </is>
      </c>
      <c r="D44" s="40" t="inlineStr">
        <is>
          <t>时间类·接近程度</t>
        </is>
      </c>
      <c r="E44" s="41" t="inlineStr">
        <is>
          <t>GT = t̂_后到者进入冲突区 − t̂_先到者离开冲突区（t̂ 按当前速度和方向预测）</t>
        </is>
      </c>
      <c r="F44" s="40" t="inlineStr">
        <is>
          <t>预测的 PET；冲突发生之前就能算</t>
        </is>
      </c>
      <c r="G44" s="40" t="inlineStr">
        <is>
          <t>冲突区的定义</t>
        </is>
      </c>
      <c r="H44" s="40" t="inlineStr">
        <is>
          <t>s</t>
        </is>
      </c>
      <c r="I44" s="40" t="inlineStr">
        <is>
          <t>越小越危险</t>
        </is>
      </c>
      <c r="J44" s="40" t="inlineStr">
        <is>
          <t>Allen 等 1978</t>
        </is>
      </c>
    </row>
    <row r="45" s="26">
      <c r="A45" s="44" t="inlineStr">
        <is>
          <t>变道/侧刮</t>
        </is>
      </c>
      <c r="B45" s="42" t="inlineStr">
        <is>
          <t>○</t>
        </is>
      </c>
      <c r="C45" s="39" t="inlineStr">
        <is>
          <t>TTS</t>
        </is>
      </c>
      <c r="D45" s="40" t="inlineStr">
        <is>
          <t>时间类·避让时机</t>
        </is>
      </c>
      <c r="E45" s="41" t="inlineStr">
        <is>
          <t>y_req = (W_F + W_L) ÷ 2 − |横向偏移|；TTS = TTC − √(2·y_req ÷ a_lat,max)</t>
        </is>
      </c>
      <c r="F45" s="40" t="inlineStr">
        <is>
          <t>最晚还能等几秒再打方向，并且仍然能避免碰撞</t>
        </is>
      </c>
      <c r="G45" s="40" t="inlineStr">
        <is>
          <t>最大横向加速度 a_lat,max</t>
        </is>
      </c>
      <c r="H45" s="40" t="inlineStr">
        <is>
          <t>s</t>
        </is>
      </c>
      <c r="I45" s="40" t="inlineStr">
        <is>
          <t>越小越危险</t>
        </is>
      </c>
      <c r="J45" s="40" t="inlineStr">
        <is>
          <t>TTM 定义（Westhofen 目录）；化简式按定义推导</t>
        </is>
      </c>
    </row>
    <row r="46" s="26">
      <c r="A46" s="44" t="inlineStr">
        <is>
          <t>变道/侧刮</t>
        </is>
      </c>
      <c r="B46" s="42" t="inlineStr">
        <is>
          <t>○</t>
        </is>
      </c>
      <c r="C46" s="39" t="inlineStr">
        <is>
          <t>DRAC</t>
        </is>
      </c>
      <c r="D46" s="40" t="inlineStr">
        <is>
          <t>减速度类</t>
        </is>
      </c>
      <c r="E46" s="41" t="inlineStr">
        <is>
          <t>DRAC = Δv² ÷ (2·d)（不在靠近时为 0）</t>
        </is>
      </c>
      <c r="F46" s="40" t="inlineStr">
        <is>
          <t>在间距用完之前把接近速度降到 0，后车至少要多大的减速度</t>
        </is>
      </c>
      <c r="G46" s="40" t="inlineStr">
        <is>
          <t>—</t>
        </is>
      </c>
      <c r="H46" s="40" t="inlineStr">
        <is>
          <t>m/s²</t>
        </is>
      </c>
      <c r="I46" s="40" t="inlineStr">
        <is>
          <t>越大越危险</t>
        </is>
      </c>
      <c r="J46" s="40" t="inlineStr">
        <is>
          <t>Almqvist 等 1991</t>
        </is>
      </c>
    </row>
    <row r="47" s="26">
      <c r="A47" s="44" t="inlineStr">
        <is>
          <t>变道/侧刮</t>
        </is>
      </c>
      <c r="B47" s="42" t="inlineStr">
        <is>
          <t>○</t>
        </is>
      </c>
      <c r="C47" s="39" t="inlineStr">
        <is>
          <t>delta-V</t>
        </is>
      </c>
      <c r="D47" s="40" t="inlineStr">
        <is>
          <t>严重度类</t>
        </is>
      </c>
      <c r="E47" s="41" t="inlineStr">
        <is>
          <t>ΔV_F = m_L ÷ (m_F + m_L) × |v_F − v_L|（v 为速度向量）</t>
        </is>
      </c>
      <c r="F47" s="40" t="inlineStr">
        <is>
          <t>假设撞上后两车粘在一起，各自的速度一下子变多少；轻的一方变化大</t>
        </is>
      </c>
      <c r="G47" s="40" t="inlineStr">
        <is>
          <t>车辆质量（按车型或外框大小估）</t>
        </is>
      </c>
      <c r="H47" s="40" t="inlineStr">
        <is>
          <t>m/s</t>
        </is>
      </c>
      <c r="I47" s="40" t="inlineStr">
        <is>
          <t>越大越严重</t>
        </is>
      </c>
      <c r="J47" s="40" t="inlineStr">
        <is>
          <t>事故重建；Shelby 2011；Extended Delta-V 见 Laureshyn 2017</t>
        </is>
      </c>
    </row>
    <row r="48" s="26">
      <c r="A48" s="45" t="inlineStr">
        <is>
          <t>交叉/转弯</t>
        </is>
      </c>
      <c r="B48" s="42" t="inlineStr">
        <is>
          <t>●</t>
        </is>
      </c>
      <c r="C48" s="39" t="inlineStr">
        <is>
          <t>最近距离 δ</t>
        </is>
      </c>
      <c r="D48" s="40" t="inlineStr">
        <is>
          <t>原始运动学量</t>
        </is>
      </c>
      <c r="E48" s="41" t="inlineStr">
        <is>
          <t>δ = 两车外框（矩形）之间的最短距离</t>
        </is>
      </c>
      <c r="F48" s="40" t="inlineStr">
        <is>
          <t>不分方向，两车车身最近的地方隔多远</t>
        </is>
      </c>
      <c r="G48" s="40" t="inlineStr">
        <is>
          <t>—</t>
        </is>
      </c>
      <c r="H48" s="40" t="inlineStr">
        <is>
          <t>m</t>
        </is>
      </c>
      <c r="I48" s="40" t="inlineStr">
        <is>
          <t>越小越危险</t>
        </is>
      </c>
      <c r="J48" s="40" t="inlineStr">
        <is>
          <t>—</t>
        </is>
      </c>
    </row>
    <row r="49" s="26">
      <c r="A49" s="45" t="inlineStr">
        <is>
          <t>交叉/转弯</t>
        </is>
      </c>
      <c r="B49" s="42" t="inlineStr">
        <is>
          <t>●</t>
        </is>
      </c>
      <c r="C49" s="39" t="inlineStr">
        <is>
          <t>接近速度 Δv</t>
        </is>
      </c>
      <c r="D49" s="40" t="inlineStr">
        <is>
          <t>原始运动学量</t>
        </is>
      </c>
      <c r="E49" s="41" t="inlineStr">
        <is>
          <t>Δv = v_F − v_L（纵向）；二维时 = 两车最短距离 δ 每秒缩短多少</t>
        </is>
      </c>
      <c r="F49" s="40" t="inlineStr">
        <is>
          <t>两车正以多快的速度靠近；大于 0 表示在靠近</t>
        </is>
      </c>
      <c r="G49" s="40" t="inlineStr">
        <is>
          <t>—</t>
        </is>
      </c>
      <c r="H49" s="40" t="inlineStr">
        <is>
          <t>m/s</t>
        </is>
      </c>
      <c r="I49" s="40" t="inlineStr">
        <is>
          <t>越大越危险</t>
        </is>
      </c>
      <c r="J49" s="40" t="inlineStr">
        <is>
          <t>—</t>
        </is>
      </c>
    </row>
    <row r="50" s="26">
      <c r="A50" s="45" t="inlineStr">
        <is>
          <t>交叉/转弯</t>
        </is>
      </c>
      <c r="B50" s="42" t="inlineStr">
        <is>
          <t>●</t>
        </is>
      </c>
      <c r="C50" s="39" t="inlineStr">
        <is>
          <t>ACT</t>
        </is>
      </c>
      <c r="D50" s="40" t="inlineStr">
        <is>
          <t>时间类·接近程度</t>
        </is>
      </c>
      <c r="E50" s="41" t="inlineStr">
        <is>
          <t>ACT = δ ÷ (δ 每秒缩短多少)；δ = 两车外框最短距离</t>
        </is>
      </c>
      <c r="F50" s="40" t="inlineStr">
        <is>
          <t>二维最短距离除以它的缩短速度；追尾、侧刮、对撞、斜角都能用</t>
        </is>
      </c>
      <c r="G50" s="40" t="inlineStr">
        <is>
          <t>—</t>
        </is>
      </c>
      <c r="H50" s="40" t="inlineStr">
        <is>
          <t>s</t>
        </is>
      </c>
      <c r="I50" s="40" t="inlineStr">
        <is>
          <t>越小越危险</t>
        </is>
      </c>
      <c r="J50" s="40" t="inlineStr">
        <is>
          <t>Venthuruthiyil &amp; Chunchu 2022</t>
        </is>
      </c>
    </row>
    <row r="51" s="26">
      <c r="A51" s="45" t="inlineStr">
        <is>
          <t>交叉/转弯</t>
        </is>
      </c>
      <c r="B51" s="42" t="inlineStr">
        <is>
          <t>●</t>
        </is>
      </c>
      <c r="C51" s="39" t="inlineStr">
        <is>
          <t>PET</t>
        </is>
      </c>
      <c r="D51" s="40" t="inlineStr">
        <is>
          <t>时间类·接近程度</t>
        </is>
      </c>
      <c r="E51" s="41" t="inlineStr">
        <is>
          <t>PET = t_后到者进入冲突区 − t_先到者离开冲突区</t>
        </is>
      </c>
      <c r="F51" s="40" t="inlineStr">
        <is>
          <t>两个人实际先后经过同一块区域，相差几秒</t>
        </is>
      </c>
      <c r="G51" s="40" t="inlineStr">
        <is>
          <t>冲突区的定义</t>
        </is>
      </c>
      <c r="H51" s="40" t="inlineStr">
        <is>
          <t>s</t>
        </is>
      </c>
      <c r="I51" s="40" t="inlineStr">
        <is>
          <t>越小越危险</t>
        </is>
      </c>
      <c r="J51" s="40" t="inlineStr">
        <is>
          <t>Allen 等 1978</t>
        </is>
      </c>
    </row>
    <row r="52" s="26">
      <c r="A52" s="45" t="inlineStr">
        <is>
          <t>交叉/转弯</t>
        </is>
      </c>
      <c r="B52" s="42" t="inlineStr">
        <is>
          <t>●</t>
        </is>
      </c>
      <c r="C52" s="39" t="inlineStr">
        <is>
          <t>GT</t>
        </is>
      </c>
      <c r="D52" s="40" t="inlineStr">
        <is>
          <t>时间类·接近程度</t>
        </is>
      </c>
      <c r="E52" s="41" t="inlineStr">
        <is>
          <t>GT = t̂_后到者进入冲突区 − t̂_先到者离开冲突区（t̂ 按当前速度和方向预测）</t>
        </is>
      </c>
      <c r="F52" s="40" t="inlineStr">
        <is>
          <t>预测的 PET；冲突发生之前就能算</t>
        </is>
      </c>
      <c r="G52" s="40" t="inlineStr">
        <is>
          <t>冲突区的定义</t>
        </is>
      </c>
      <c r="H52" s="40" t="inlineStr">
        <is>
          <t>s</t>
        </is>
      </c>
      <c r="I52" s="40" t="inlineStr">
        <is>
          <t>越小越危险</t>
        </is>
      </c>
      <c r="J52" s="40" t="inlineStr">
        <is>
          <t>Allen 等 1978</t>
        </is>
      </c>
    </row>
    <row r="53" s="26">
      <c r="A53" s="45" t="inlineStr">
        <is>
          <t>交叉/转弯</t>
        </is>
      </c>
      <c r="B53" s="42" t="inlineStr">
        <is>
          <t>●</t>
        </is>
      </c>
      <c r="C53" s="39" t="inlineStr">
        <is>
          <t>PSD</t>
        </is>
      </c>
      <c r="D53" s="40" t="inlineStr">
        <is>
          <t>距离类</t>
        </is>
      </c>
      <c r="E53" s="41" t="inlineStr">
        <is>
          <t>PSD = 到冲突点的剩余距离 ÷ [v² ÷ (2·a_max)]</t>
        </is>
      </c>
      <c r="F53" s="40" t="inlineStr">
        <is>
          <t>剩下的距离够不够停车；小于 1 表示刹不住</t>
        </is>
      </c>
      <c r="G53" s="40" t="inlineStr">
        <is>
          <t>最大可接受减速度 a_max</t>
        </is>
      </c>
      <c r="H53" s="40" t="inlineStr">
        <is>
          <t>无单位</t>
        </is>
      </c>
      <c r="I53" s="40" t="inlineStr">
        <is>
          <t>越小越危险</t>
        </is>
      </c>
      <c r="J53" s="40" t="inlineStr">
        <is>
          <t>Allen 等 1978</t>
        </is>
      </c>
    </row>
    <row r="54" s="26">
      <c r="A54" s="45" t="inlineStr">
        <is>
          <t>交叉/转弯</t>
        </is>
      </c>
      <c r="B54" s="42" t="inlineStr">
        <is>
          <t>●</t>
        </is>
      </c>
      <c r="C54" s="39" t="inlineStr">
        <is>
          <t>delta-V</t>
        </is>
      </c>
      <c r="D54" s="40" t="inlineStr">
        <is>
          <t>严重度类</t>
        </is>
      </c>
      <c r="E54" s="41" t="inlineStr">
        <is>
          <t>ΔV_F = m_L ÷ (m_F + m_L) × |v_F − v_L|（v 为速度向量）</t>
        </is>
      </c>
      <c r="F54" s="40" t="inlineStr">
        <is>
          <t>假设撞上后两车粘在一起，各自的速度一下子变多少；轻的一方变化大</t>
        </is>
      </c>
      <c r="G54" s="40" t="inlineStr">
        <is>
          <t>车辆质量（按车型或外框大小估）</t>
        </is>
      </c>
      <c r="H54" s="40" t="inlineStr">
        <is>
          <t>m/s</t>
        </is>
      </c>
      <c r="I54" s="40" t="inlineStr">
        <is>
          <t>越大越严重</t>
        </is>
      </c>
      <c r="J54" s="40" t="inlineStr">
        <is>
          <t>事故重建；Shelby 2011；Extended Delta-V 见 Laureshyn 2017</t>
        </is>
      </c>
    </row>
    <row r="55" s="26">
      <c r="A55" s="45" t="inlineStr">
        <is>
          <t>交叉/转弯</t>
        </is>
      </c>
      <c r="B55" s="42" t="inlineStr">
        <is>
          <t>●</t>
        </is>
      </c>
      <c r="C55" s="39" t="inlineStr">
        <is>
          <t>MPrISM</t>
        </is>
      </c>
      <c r="D55" s="40" t="inlineStr">
        <is>
          <t>模型预测类</t>
        </is>
      </c>
      <c r="E55" s="41" t="inlineStr">
        <is>
          <t>h* = min(对方动作) max(自车动作) 第 n 步两车距离；MPrTTC = 第一个使 h* ≤ C 的时刻</t>
        </is>
      </c>
      <c r="F55" s="40" t="inlineStr">
        <is>
          <t>对方尽量往你身上撞、你尽量躲的最坏情况下，几秒后会撞上；预测时长内撞不上算安全</t>
        </is>
      </c>
      <c r="G55" s="40" t="inlineStr">
        <is>
          <t>车辆运动模型、动作范围、预测时长、碰撞距离 C（原文：1 s、2 m）</t>
        </is>
      </c>
      <c r="H55" s="40" t="inlineStr">
        <is>
          <t>s</t>
        </is>
      </c>
      <c r="I55" s="40" t="inlineStr">
        <is>
          <t>越小越危险</t>
        </is>
      </c>
      <c r="J55" s="40" t="inlineStr">
        <is>
          <t>Weng 等 2020</t>
        </is>
      </c>
    </row>
    <row r="56" s="26">
      <c r="A56" s="45" t="inlineStr">
        <is>
          <t>交叉/转弯</t>
        </is>
      </c>
      <c r="B56" s="42" t="inlineStr">
        <is>
          <t>○</t>
        </is>
      </c>
      <c r="C56" s="39" t="inlineStr">
        <is>
          <t>速度 v</t>
        </is>
      </c>
      <c r="D56" s="40" t="inlineStr">
        <is>
          <t>原始运动学量</t>
        </is>
      </c>
      <c r="E56" s="41" t="inlineStr">
        <is>
          <t>v = √(v_x² + v_y²)</t>
        </is>
      </c>
      <c r="F56" s="40" t="inlineStr">
        <is>
          <t>车开多快；本身不是冲突指标，但决定一旦碰撞有多严重</t>
        </is>
      </c>
      <c r="G56" s="40" t="inlineStr">
        <is>
          <t>—</t>
        </is>
      </c>
      <c r="H56" s="40" t="inlineStr">
        <is>
          <t>m/s</t>
        </is>
      </c>
      <c r="I56" s="40" t="inlineStr">
        <is>
          <t>越大越严重（严重度）</t>
        </is>
      </c>
      <c r="J56" s="40" t="inlineStr">
        <is>
          <t>—</t>
        </is>
      </c>
    </row>
    <row r="57" s="26">
      <c r="A57" s="45" t="inlineStr">
        <is>
          <t>交叉/转弯</t>
        </is>
      </c>
      <c r="B57" s="42" t="inlineStr">
        <is>
          <t>○</t>
        </is>
      </c>
      <c r="C57" s="39" t="inlineStr">
        <is>
          <t>纵向加速度 a</t>
        </is>
      </c>
      <c r="D57" s="40" t="inlineStr">
        <is>
          <t>原始运动学量</t>
        </is>
      </c>
      <c r="E57" s="41" t="inlineStr">
        <is>
          <t>a = dv ÷ dt（负值表示减速）</t>
        </is>
      </c>
      <c r="F57" s="40" t="inlineStr">
        <is>
          <t>加速或刹车有多猛；急刹说明有人在避让</t>
        </is>
      </c>
      <c r="G57" s="40" t="inlineStr">
        <is>
          <t>—</t>
        </is>
      </c>
      <c r="H57" s="40" t="inlineStr">
        <is>
          <t>m/s²</t>
        </is>
      </c>
      <c r="I57" s="40" t="inlineStr">
        <is>
          <t>减速越猛越危险</t>
        </is>
      </c>
      <c r="J57" s="40" t="inlineStr">
        <is>
          <t>—</t>
        </is>
      </c>
    </row>
    <row r="58" s="26">
      <c r="A58" s="45" t="inlineStr">
        <is>
          <t>交叉/转弯</t>
        </is>
      </c>
      <c r="B58" s="42" t="inlineStr">
        <is>
          <t>○</t>
        </is>
      </c>
      <c r="C58" s="39" t="inlineStr">
        <is>
          <t>急刹事件</t>
        </is>
      </c>
      <c r="D58" s="40" t="inlineStr">
        <is>
          <t>原始运动学量</t>
        </is>
      </c>
      <c r="E58" s="41" t="inlineStr">
        <is>
          <t>急刹 = [a(t) &lt; −a_thr]，按次数或持续时间统计</t>
        </is>
      </c>
      <c r="F58" s="40" t="inlineStr">
        <is>
          <t>减速超过阈值的时刻；适合用来筛出可疑片段</t>
        </is>
      </c>
      <c r="G58" s="40" t="inlineStr">
        <is>
          <t>急刹阈值 a_thr（Google 用 3 m/s²）</t>
        </is>
      </c>
      <c r="H58" s="40" t="inlineStr">
        <is>
          <t>次 / s</t>
        </is>
      </c>
      <c r="I58" s="40" t="inlineStr">
        <is>
          <t>越多越危险</t>
        </is>
      </c>
      <c r="J58" s="40" t="inlineStr">
        <is>
          <t>Google Research 2026（HBE 定义）</t>
        </is>
      </c>
    </row>
    <row r="59" s="26">
      <c r="A59" s="45" t="inlineStr">
        <is>
          <t>交叉/转弯</t>
        </is>
      </c>
      <c r="B59" s="42" t="inlineStr">
        <is>
          <t>○</t>
        </is>
      </c>
      <c r="C59" s="39" t="inlineStr">
        <is>
          <t>横向加速度 a_lat</t>
        </is>
      </c>
      <c r="D59" s="40" t="inlineStr">
        <is>
          <t>原始运动学量</t>
        </is>
      </c>
      <c r="E59" s="41" t="inlineStr">
        <is>
          <t>a_lat = v × ω ≈ v² ÷ R（R 为转弯半径）</t>
        </is>
      </c>
      <c r="F59" s="40" t="inlineStr">
        <is>
          <t>转向有多急，例如急打方向、急变道</t>
        </is>
      </c>
      <c r="G59" s="40" t="inlineStr">
        <is>
          <t>—</t>
        </is>
      </c>
      <c r="H59" s="40" t="inlineStr">
        <is>
          <t>m/s²</t>
        </is>
      </c>
      <c r="I59" s="40" t="inlineStr">
        <is>
          <t>绝对值越大越危险</t>
        </is>
      </c>
      <c r="J59" s="40" t="inlineStr">
        <is>
          <t>—</t>
        </is>
      </c>
    </row>
    <row r="60" s="26">
      <c r="A60" s="45" t="inlineStr">
        <is>
          <t>交叉/转弯</t>
        </is>
      </c>
      <c r="B60" s="42" t="inlineStr">
        <is>
          <t>○</t>
        </is>
      </c>
      <c r="C60" s="39" t="inlineStr">
        <is>
          <t>加加速度 jerk</t>
        </is>
      </c>
      <c r="D60" s="40" t="inlineStr">
        <is>
          <t>原始运动学量</t>
        </is>
      </c>
      <c r="E60" s="41" t="inlineStr">
        <is>
          <t>jerk = da ÷ dt</t>
        </is>
      </c>
      <c r="F60" s="40" t="inlineStr">
        <is>
          <t>加速度变化得有多突然，例如猛踩刹车</t>
        </is>
      </c>
      <c r="G60" s="40" t="inlineStr">
        <is>
          <t>—</t>
        </is>
      </c>
      <c r="H60" s="40" t="inlineStr">
        <is>
          <t>m/s³</t>
        </is>
      </c>
      <c r="I60" s="40" t="inlineStr">
        <is>
          <t>绝对值越大越危险</t>
        </is>
      </c>
      <c r="J60" s="40" t="inlineStr">
        <is>
          <t>—</t>
        </is>
      </c>
    </row>
    <row r="61" s="26">
      <c r="A61" s="45" t="inlineStr">
        <is>
          <t>交叉/转弯</t>
        </is>
      </c>
      <c r="B61" s="42" t="inlineStr">
        <is>
          <t>○</t>
        </is>
      </c>
      <c r="C61" s="39" t="inlineStr">
        <is>
          <t>横摆角速度 ω</t>
        </is>
      </c>
      <c r="D61" s="40" t="inlineStr">
        <is>
          <t>原始运动学量</t>
        </is>
      </c>
      <c r="E61" s="41" t="inlineStr">
        <is>
          <t>ω = dθ ÷ dt（θ 为车头朝向）</t>
        </is>
      </c>
      <c r="F61" s="40" t="inlineStr">
        <is>
          <t>车头转得有多快，反映突然打方向</t>
        </is>
      </c>
      <c r="G61" s="40" t="inlineStr">
        <is>
          <t>—</t>
        </is>
      </c>
      <c r="H61" s="40" t="inlineStr">
        <is>
          <t>rad/s</t>
        </is>
      </c>
      <c r="I61" s="40" t="inlineStr">
        <is>
          <t>绝对值越大越危险</t>
        </is>
      </c>
      <c r="J61" s="40" t="inlineStr">
        <is>
          <t>—</t>
        </is>
      </c>
    </row>
    <row r="62" s="26">
      <c r="A62" s="45" t="inlineStr">
        <is>
          <t>交叉/转弯</t>
        </is>
      </c>
      <c r="B62" s="42" t="inlineStr">
        <is>
          <t>○</t>
        </is>
      </c>
      <c r="C62" s="39" t="inlineStr">
        <is>
          <t>TTC</t>
        </is>
      </c>
      <c r="D62" s="40" t="inlineStr">
        <is>
          <t>时间类·接近程度</t>
        </is>
      </c>
      <c r="E62" s="41" t="inlineStr">
        <is>
          <t>TTC = d ÷ Δv（Δv &gt; 0；否则记为 ∞）</t>
        </is>
      </c>
      <c r="F62" s="40" t="inlineStr">
        <is>
          <t>两车都保持现在的速度，还剩几秒撞上</t>
        </is>
      </c>
      <c r="G62" s="40" t="inlineStr">
        <is>
          <t>—</t>
        </is>
      </c>
      <c r="H62" s="40" t="inlineStr">
        <is>
          <t>s</t>
        </is>
      </c>
      <c r="I62" s="40" t="inlineStr">
        <is>
          <t>越小越危险</t>
        </is>
      </c>
      <c r="J62" s="40" t="inlineStr">
        <is>
          <t>Hayward 1972</t>
        </is>
      </c>
    </row>
    <row r="63" s="26">
      <c r="A63" s="45" t="inlineStr">
        <is>
          <t>交叉/转弯</t>
        </is>
      </c>
      <c r="B63" s="42" t="inlineStr">
        <is>
          <t>○</t>
        </is>
      </c>
      <c r="C63" s="39" t="inlineStr">
        <is>
          <t>RTTC (ITTC)</t>
        </is>
      </c>
      <c r="D63" s="40" t="inlineStr">
        <is>
          <t>时间类·接近程度</t>
        </is>
      </c>
      <c r="E63" s="41" t="inlineStr">
        <is>
          <t>RTTC = Δv ÷ d = 1 ÷ TTC（不在靠近时为 0）</t>
        </is>
      </c>
      <c r="F63" s="40" t="inlineStr">
        <is>
          <t>TTC 的倒数；不会出现无穷大，排序和求平均方便</t>
        </is>
      </c>
      <c r="G63" s="40" t="inlineStr">
        <is>
          <t>—</t>
        </is>
      </c>
      <c r="H63" s="40" t="inlineStr">
        <is>
          <t>1/s</t>
        </is>
      </c>
      <c r="I63" s="40" t="inlineStr">
        <is>
          <t>越大越危险</t>
        </is>
      </c>
      <c r="J63" s="40" t="inlineStr">
        <is>
          <t>—</t>
        </is>
      </c>
    </row>
    <row r="64" s="26">
      <c r="A64" s="45" t="inlineStr">
        <is>
          <t>交叉/转弯</t>
        </is>
      </c>
      <c r="B64" s="42" t="inlineStr">
        <is>
          <t>○</t>
        </is>
      </c>
      <c r="C64" s="39" t="inlineStr">
        <is>
          <t>2D-TTC</t>
        </is>
      </c>
      <c r="D64" s="40" t="inlineStr">
        <is>
          <t>时间类·接近程度</t>
        </is>
      </c>
      <c r="E64" s="41" t="inlineStr">
        <is>
          <t>TTC_纵 = (s_纵 − L_前) ÷ Δv_纵；TTC_横 = (s_横 − W̄) ÷ Δv_横；2D-TTC = min(TTC_纵, TTC_横)（各自要求到那时另一个方向仍然重叠）。几何版：两车外框第一次重叠的时刻</t>
        </is>
      </c>
      <c r="F64" s="40" t="inlineStr">
        <is>
          <t>从后面追上还是从侧面刮蹭，取先发生的那个，还剩几秒</t>
        </is>
      </c>
      <c r="G64" s="40" t="inlineStr">
        <is>
          <t>—</t>
        </is>
      </c>
      <c r="H64" s="40" t="inlineStr">
        <is>
          <t>s</t>
        </is>
      </c>
      <c r="I64" s="40" t="inlineStr">
        <is>
          <t>越小越危险</t>
        </is>
      </c>
      <c r="J64" s="40" t="inlineStr">
        <is>
          <t>Guo、Xie &amp; Keyvan-Ekbatani 2023；演示脚本用的是几何版</t>
        </is>
      </c>
    </row>
    <row r="65" s="26">
      <c r="A65" s="45" t="inlineStr">
        <is>
          <t>交叉/转弯</t>
        </is>
      </c>
      <c r="B65" s="42" t="inlineStr">
        <is>
          <t>○</t>
        </is>
      </c>
      <c r="C65" s="39" t="inlineStr">
        <is>
          <t>TTB</t>
        </is>
      </c>
      <c r="D65" s="40" t="inlineStr">
        <is>
          <t>时间类·避让时机</t>
        </is>
      </c>
      <c r="E65" s="41" t="inlineStr">
        <is>
          <t>TTB = TTC − Δv ÷ (2·a_max)（前车匀速、后车以最大减速度刹车时的化简式；小于 0 记为 −∞）</t>
        </is>
      </c>
      <c r="F65" s="40" t="inlineStr">
        <is>
          <t>最晚还能等几秒再刹车，并且仍然能避免碰撞</t>
        </is>
      </c>
      <c r="G65" s="40" t="inlineStr">
        <is>
          <t>最大减速度 a_max</t>
        </is>
      </c>
      <c r="H65" s="40" t="inlineStr">
        <is>
          <t>s</t>
        </is>
      </c>
      <c r="I65" s="40" t="inlineStr">
        <is>
          <t>越小越危险</t>
        </is>
      </c>
      <c r="J65" s="40" t="inlineStr">
        <is>
          <t>TTM 定义（Westhofen 目录）；化简式按定义推导</t>
        </is>
      </c>
    </row>
    <row r="66" s="26">
      <c r="A66" s="45" t="inlineStr">
        <is>
          <t>交叉/转弯</t>
        </is>
      </c>
      <c r="B66" s="42" t="inlineStr">
        <is>
          <t>○</t>
        </is>
      </c>
      <c r="C66" s="39" t="inlineStr">
        <is>
          <t>TTS</t>
        </is>
      </c>
      <c r="D66" s="40" t="inlineStr">
        <is>
          <t>时间类·避让时机</t>
        </is>
      </c>
      <c r="E66" s="41" t="inlineStr">
        <is>
          <t>y_req = (W_F + W_L) ÷ 2 − |横向偏移|；TTS = TTC − √(2·y_req ÷ a_lat,max)</t>
        </is>
      </c>
      <c r="F66" s="40" t="inlineStr">
        <is>
          <t>最晚还能等几秒再打方向，并且仍然能避免碰撞</t>
        </is>
      </c>
      <c r="G66" s="40" t="inlineStr">
        <is>
          <t>最大横向加速度 a_lat,max</t>
        </is>
      </c>
      <c r="H66" s="40" t="inlineStr">
        <is>
          <t>s</t>
        </is>
      </c>
      <c r="I66" s="40" t="inlineStr">
        <is>
          <t>越小越危险</t>
        </is>
      </c>
      <c r="J66" s="40" t="inlineStr">
        <is>
          <t>TTM 定义（Westhofen 目录）；化简式按定义推导</t>
        </is>
      </c>
    </row>
    <row r="67" s="26">
      <c r="A67" s="45" t="inlineStr">
        <is>
          <t>交叉/转弯</t>
        </is>
      </c>
      <c r="B67" s="42" t="inlineStr">
        <is>
          <t>○</t>
        </is>
      </c>
      <c r="C67" s="39" t="inlineStr">
        <is>
          <t>DRAC</t>
        </is>
      </c>
      <c r="D67" s="40" t="inlineStr">
        <is>
          <t>减速度类</t>
        </is>
      </c>
      <c r="E67" s="41" t="inlineStr">
        <is>
          <t>DRAC = Δv² ÷ (2·d)（不在靠近时为 0）</t>
        </is>
      </c>
      <c r="F67" s="40" t="inlineStr">
        <is>
          <t>在间距用完之前把接近速度降到 0，后车至少要多大的减速度</t>
        </is>
      </c>
      <c r="G67" s="40" t="inlineStr">
        <is>
          <t>—</t>
        </is>
      </c>
      <c r="H67" s="40" t="inlineStr">
        <is>
          <t>m/s²</t>
        </is>
      </c>
      <c r="I67" s="40" t="inlineStr">
        <is>
          <t>越大越危险</t>
        </is>
      </c>
      <c r="J67" s="40" t="inlineStr">
        <is>
          <t>Almqvist 等 1991</t>
        </is>
      </c>
    </row>
    <row r="68" s="26">
      <c r="A68" s="46" t="inlineStr">
        <is>
          <t>行人/非机动车</t>
        </is>
      </c>
      <c r="B68" s="42" t="inlineStr">
        <is>
          <t>●</t>
        </is>
      </c>
      <c r="C68" s="39" t="inlineStr">
        <is>
          <t>最近距离 δ</t>
        </is>
      </c>
      <c r="D68" s="40" t="inlineStr">
        <is>
          <t>原始运动学量</t>
        </is>
      </c>
      <c r="E68" s="41" t="inlineStr">
        <is>
          <t>δ = 两车外框（矩形）之间的最短距离</t>
        </is>
      </c>
      <c r="F68" s="40" t="inlineStr">
        <is>
          <t>不分方向，两车车身最近的地方隔多远</t>
        </is>
      </c>
      <c r="G68" s="40" t="inlineStr">
        <is>
          <t>—</t>
        </is>
      </c>
      <c r="H68" s="40" t="inlineStr">
        <is>
          <t>m</t>
        </is>
      </c>
      <c r="I68" s="40" t="inlineStr">
        <is>
          <t>越小越危险</t>
        </is>
      </c>
      <c r="J68" s="40" t="inlineStr">
        <is>
          <t>—</t>
        </is>
      </c>
    </row>
    <row r="69" s="26">
      <c r="A69" s="46" t="inlineStr">
        <is>
          <t>行人/非机动车</t>
        </is>
      </c>
      <c r="B69" s="42" t="inlineStr">
        <is>
          <t>●</t>
        </is>
      </c>
      <c r="C69" s="39" t="inlineStr">
        <is>
          <t>接近速度 Δv</t>
        </is>
      </c>
      <c r="D69" s="40" t="inlineStr">
        <is>
          <t>原始运动学量</t>
        </is>
      </c>
      <c r="E69" s="41" t="inlineStr">
        <is>
          <t>Δv = v_F − v_L（纵向）；二维时 = 两车最短距离 δ 每秒缩短多少</t>
        </is>
      </c>
      <c r="F69" s="40" t="inlineStr">
        <is>
          <t>两车正以多快的速度靠近；大于 0 表示在靠近</t>
        </is>
      </c>
      <c r="G69" s="40" t="inlineStr">
        <is>
          <t>—</t>
        </is>
      </c>
      <c r="H69" s="40" t="inlineStr">
        <is>
          <t>m/s</t>
        </is>
      </c>
      <c r="I69" s="40" t="inlineStr">
        <is>
          <t>越大越危险</t>
        </is>
      </c>
      <c r="J69" s="40" t="inlineStr">
        <is>
          <t>—</t>
        </is>
      </c>
    </row>
    <row r="70" s="26">
      <c r="A70" s="46" t="inlineStr">
        <is>
          <t>行人/非机动车</t>
        </is>
      </c>
      <c r="B70" s="42" t="inlineStr">
        <is>
          <t>●</t>
        </is>
      </c>
      <c r="C70" s="39" t="inlineStr">
        <is>
          <t>PET</t>
        </is>
      </c>
      <c r="D70" s="40" t="inlineStr">
        <is>
          <t>时间类·接近程度</t>
        </is>
      </c>
      <c r="E70" s="41" t="inlineStr">
        <is>
          <t>PET = t_后到者进入冲突区 − t_先到者离开冲突区</t>
        </is>
      </c>
      <c r="F70" s="40" t="inlineStr">
        <is>
          <t>两个人实际先后经过同一块区域，相差几秒</t>
        </is>
      </c>
      <c r="G70" s="40" t="inlineStr">
        <is>
          <t>冲突区的定义</t>
        </is>
      </c>
      <c r="H70" s="40" t="inlineStr">
        <is>
          <t>s</t>
        </is>
      </c>
      <c r="I70" s="40" t="inlineStr">
        <is>
          <t>越小越危险</t>
        </is>
      </c>
      <c r="J70" s="40" t="inlineStr">
        <is>
          <t>Allen 等 1978</t>
        </is>
      </c>
    </row>
    <row r="71" s="26">
      <c r="A71" s="46" t="inlineStr">
        <is>
          <t>行人/非机动车</t>
        </is>
      </c>
      <c r="B71" s="42" t="inlineStr">
        <is>
          <t>●</t>
        </is>
      </c>
      <c r="C71" s="39" t="inlineStr">
        <is>
          <t>GT</t>
        </is>
      </c>
      <c r="D71" s="40" t="inlineStr">
        <is>
          <t>时间类·接近程度</t>
        </is>
      </c>
      <c r="E71" s="41" t="inlineStr">
        <is>
          <t>GT = t̂_后到者进入冲突区 − t̂_先到者离开冲突区（t̂ 按当前速度和方向预测）</t>
        </is>
      </c>
      <c r="F71" s="40" t="inlineStr">
        <is>
          <t>预测的 PET；冲突发生之前就能算</t>
        </is>
      </c>
      <c r="G71" s="40" t="inlineStr">
        <is>
          <t>冲突区的定义</t>
        </is>
      </c>
      <c r="H71" s="40" t="inlineStr">
        <is>
          <t>s</t>
        </is>
      </c>
      <c r="I71" s="40" t="inlineStr">
        <is>
          <t>越小越危险</t>
        </is>
      </c>
      <c r="J71" s="40" t="inlineStr">
        <is>
          <t>Allen 等 1978</t>
        </is>
      </c>
    </row>
    <row r="72" s="26">
      <c r="A72" s="46" t="inlineStr">
        <is>
          <t>行人/非机动车</t>
        </is>
      </c>
      <c r="B72" s="42" t="inlineStr">
        <is>
          <t>●</t>
        </is>
      </c>
      <c r="C72" s="39" t="inlineStr">
        <is>
          <t>MPrISM</t>
        </is>
      </c>
      <c r="D72" s="40" t="inlineStr">
        <is>
          <t>模型预测类</t>
        </is>
      </c>
      <c r="E72" s="41" t="inlineStr">
        <is>
          <t>h* = min(对方动作) max(自车动作) 第 n 步两车距离；MPrTTC = 第一个使 h* ≤ C 的时刻</t>
        </is>
      </c>
      <c r="F72" s="40" t="inlineStr">
        <is>
          <t>对方尽量往你身上撞、你尽量躲的最坏情况下，几秒后会撞上；预测时长内撞不上算安全</t>
        </is>
      </c>
      <c r="G72" s="40" t="inlineStr">
        <is>
          <t>车辆运动模型、动作范围、预测时长、碰撞距离 C（原文：1 s、2 m）</t>
        </is>
      </c>
      <c r="H72" s="40" t="inlineStr">
        <is>
          <t>s</t>
        </is>
      </c>
      <c r="I72" s="40" t="inlineStr">
        <is>
          <t>越小越危险</t>
        </is>
      </c>
      <c r="J72" s="40" t="inlineStr">
        <is>
          <t>Weng 等 2020</t>
        </is>
      </c>
    </row>
    <row r="73" s="26">
      <c r="A73" s="46" t="inlineStr">
        <is>
          <t>行人/非机动车</t>
        </is>
      </c>
      <c r="B73" s="42" t="inlineStr">
        <is>
          <t>○</t>
        </is>
      </c>
      <c r="C73" s="39" t="inlineStr">
        <is>
          <t>横向间距</t>
        </is>
      </c>
      <c r="D73" s="40" t="inlineStr">
        <is>
          <t>原始运动学量</t>
        </is>
      </c>
      <c r="E73" s="41" t="inlineStr">
        <is>
          <t>横向间距 = |横向偏移| − (W_F + W_L) ÷ 2</t>
        </is>
      </c>
      <c r="F73" s="40" t="inlineStr">
        <is>
          <t>并排时两车侧面之间隔多远；负数表示横向已经重叠</t>
        </is>
      </c>
      <c r="G73" s="40" t="inlineStr">
        <is>
          <t>—</t>
        </is>
      </c>
      <c r="H73" s="40" t="inlineStr">
        <is>
          <t>m</t>
        </is>
      </c>
      <c r="I73" s="40" t="inlineStr">
        <is>
          <t>越小越危险</t>
        </is>
      </c>
      <c r="J73" s="40" t="inlineStr">
        <is>
          <t>—</t>
        </is>
      </c>
    </row>
    <row r="74" s="26">
      <c r="A74" s="46" t="inlineStr">
        <is>
          <t>行人/非机动车</t>
        </is>
      </c>
      <c r="B74" s="42" t="inlineStr">
        <is>
          <t>○</t>
        </is>
      </c>
      <c r="C74" s="39" t="inlineStr">
        <is>
          <t>速度 v</t>
        </is>
      </c>
      <c r="D74" s="40" t="inlineStr">
        <is>
          <t>原始运动学量</t>
        </is>
      </c>
      <c r="E74" s="41" t="inlineStr">
        <is>
          <t>v = √(v_x² + v_y²)</t>
        </is>
      </c>
      <c r="F74" s="40" t="inlineStr">
        <is>
          <t>车开多快；本身不是冲突指标，但决定一旦碰撞有多严重</t>
        </is>
      </c>
      <c r="G74" s="40" t="inlineStr">
        <is>
          <t>—</t>
        </is>
      </c>
      <c r="H74" s="40" t="inlineStr">
        <is>
          <t>m/s</t>
        </is>
      </c>
      <c r="I74" s="40" t="inlineStr">
        <is>
          <t>越大越严重（严重度）</t>
        </is>
      </c>
      <c r="J74" s="40" t="inlineStr">
        <is>
          <t>—</t>
        </is>
      </c>
    </row>
    <row r="75" s="26">
      <c r="A75" s="46" t="inlineStr">
        <is>
          <t>行人/非机动车</t>
        </is>
      </c>
      <c r="B75" s="42" t="inlineStr">
        <is>
          <t>○</t>
        </is>
      </c>
      <c r="C75" s="39" t="inlineStr">
        <is>
          <t>纵向加速度 a</t>
        </is>
      </c>
      <c r="D75" s="40" t="inlineStr">
        <is>
          <t>原始运动学量</t>
        </is>
      </c>
      <c r="E75" s="41" t="inlineStr">
        <is>
          <t>a = dv ÷ dt（负值表示减速）</t>
        </is>
      </c>
      <c r="F75" s="40" t="inlineStr">
        <is>
          <t>加速或刹车有多猛；急刹说明有人在避让</t>
        </is>
      </c>
      <c r="G75" s="40" t="inlineStr">
        <is>
          <t>—</t>
        </is>
      </c>
      <c r="H75" s="40" t="inlineStr">
        <is>
          <t>m/s²</t>
        </is>
      </c>
      <c r="I75" s="40" t="inlineStr">
        <is>
          <t>减速越猛越危险</t>
        </is>
      </c>
      <c r="J75" s="40" t="inlineStr">
        <is>
          <t>—</t>
        </is>
      </c>
    </row>
    <row r="76" s="26">
      <c r="A76" s="46" t="inlineStr">
        <is>
          <t>行人/非机动车</t>
        </is>
      </c>
      <c r="B76" s="42" t="inlineStr">
        <is>
          <t>○</t>
        </is>
      </c>
      <c r="C76" s="39" t="inlineStr">
        <is>
          <t>急刹事件</t>
        </is>
      </c>
      <c r="D76" s="40" t="inlineStr">
        <is>
          <t>原始运动学量</t>
        </is>
      </c>
      <c r="E76" s="41" t="inlineStr">
        <is>
          <t>急刹 = [a(t) &lt; −a_thr]，按次数或持续时间统计</t>
        </is>
      </c>
      <c r="F76" s="40" t="inlineStr">
        <is>
          <t>减速超过阈值的时刻；适合用来筛出可疑片段</t>
        </is>
      </c>
      <c r="G76" s="40" t="inlineStr">
        <is>
          <t>急刹阈值 a_thr（Google 用 3 m/s²）</t>
        </is>
      </c>
      <c r="H76" s="40" t="inlineStr">
        <is>
          <t>次 / s</t>
        </is>
      </c>
      <c r="I76" s="40" t="inlineStr">
        <is>
          <t>越多越危险</t>
        </is>
      </c>
      <c r="J76" s="40" t="inlineStr">
        <is>
          <t>Google Research 2026（HBE 定义）</t>
        </is>
      </c>
    </row>
    <row r="77" s="26">
      <c r="A77" s="46" t="inlineStr">
        <is>
          <t>行人/非机动车</t>
        </is>
      </c>
      <c r="B77" s="42" t="inlineStr">
        <is>
          <t>○</t>
        </is>
      </c>
      <c r="C77" s="39" t="inlineStr">
        <is>
          <t>2D-TTC</t>
        </is>
      </c>
      <c r="D77" s="40" t="inlineStr">
        <is>
          <t>时间类·接近程度</t>
        </is>
      </c>
      <c r="E77" s="41" t="inlineStr">
        <is>
          <t>TTC_纵 = (s_纵 − L_前) ÷ Δv_纵；TTC_横 = (s_横 − W̄) ÷ Δv_横；2D-TTC = min(TTC_纵, TTC_横)（各自要求到那时另一个方向仍然重叠）。几何版：两车外框第一次重叠的时刻</t>
        </is>
      </c>
      <c r="F77" s="40" t="inlineStr">
        <is>
          <t>从后面追上还是从侧面刮蹭，取先发生的那个，还剩几秒</t>
        </is>
      </c>
      <c r="G77" s="40" t="inlineStr">
        <is>
          <t>—</t>
        </is>
      </c>
      <c r="H77" s="40" t="inlineStr">
        <is>
          <t>s</t>
        </is>
      </c>
      <c r="I77" s="40" t="inlineStr">
        <is>
          <t>越小越危险</t>
        </is>
      </c>
      <c r="J77" s="40" t="inlineStr">
        <is>
          <t>Guo、Xie &amp; Keyvan-Ekbatani 2023；演示脚本用的是几何版</t>
        </is>
      </c>
    </row>
    <row r="78" s="26">
      <c r="A78" s="46" t="inlineStr">
        <is>
          <t>行人/非机动车</t>
        </is>
      </c>
      <c r="B78" s="42" t="inlineStr">
        <is>
          <t>○</t>
        </is>
      </c>
      <c r="C78" s="39" t="inlineStr">
        <is>
          <t>ACT</t>
        </is>
      </c>
      <c r="D78" s="40" t="inlineStr">
        <is>
          <t>时间类·接近程度</t>
        </is>
      </c>
      <c r="E78" s="41" t="inlineStr">
        <is>
          <t>ACT = δ ÷ (δ 每秒缩短多少)；δ = 两车外框最短距离</t>
        </is>
      </c>
      <c r="F78" s="40" t="inlineStr">
        <is>
          <t>二维最短距离除以它的缩短速度；追尾、侧刮、对撞、斜角都能用</t>
        </is>
      </c>
      <c r="G78" s="40" t="inlineStr">
        <is>
          <t>—</t>
        </is>
      </c>
      <c r="H78" s="40" t="inlineStr">
        <is>
          <t>s</t>
        </is>
      </c>
      <c r="I78" s="40" t="inlineStr">
        <is>
          <t>越小越危险</t>
        </is>
      </c>
      <c r="J78" s="40" t="inlineStr">
        <is>
          <t>Venthuruthiyil &amp; Chunchu 2022</t>
        </is>
      </c>
    </row>
    <row r="79" s="26">
      <c r="A79" s="46" t="inlineStr">
        <is>
          <t>行人/非机动车</t>
        </is>
      </c>
      <c r="B79" s="42" t="inlineStr">
        <is>
          <t>○</t>
        </is>
      </c>
      <c r="C79" s="39" t="inlineStr">
        <is>
          <t>PSD</t>
        </is>
      </c>
      <c r="D79" s="40" t="inlineStr">
        <is>
          <t>距离类</t>
        </is>
      </c>
      <c r="E79" s="41" t="inlineStr">
        <is>
          <t>PSD = 到冲突点的剩余距离 ÷ [v² ÷ (2·a_max)]</t>
        </is>
      </c>
      <c r="F79" s="40" t="inlineStr">
        <is>
          <t>剩下的距离够不够停车；小于 1 表示刹不住</t>
        </is>
      </c>
      <c r="G79" s="40" t="inlineStr">
        <is>
          <t>最大可接受减速度 a_max</t>
        </is>
      </c>
      <c r="H79" s="40" t="inlineStr">
        <is>
          <t>无单位</t>
        </is>
      </c>
      <c r="I79" s="40" t="inlineStr">
        <is>
          <t>越小越危险</t>
        </is>
      </c>
      <c r="J79" s="40" t="inlineStr">
        <is>
          <t>Allen 等 1978</t>
        </is>
      </c>
    </row>
    <row r="80" s="26">
      <c r="A80" s="46" t="inlineStr">
        <is>
          <t>行人/非机动车</t>
        </is>
      </c>
      <c r="B80" s="42" t="inlineStr">
        <is>
          <t>○</t>
        </is>
      </c>
      <c r="C80" s="39" t="inlineStr">
        <is>
          <t>delta-V</t>
        </is>
      </c>
      <c r="D80" s="40" t="inlineStr">
        <is>
          <t>严重度类</t>
        </is>
      </c>
      <c r="E80" s="41" t="inlineStr">
        <is>
          <t>ΔV_F = m_L ÷ (m_F + m_L) × |v_F − v_L|（v 为速度向量）</t>
        </is>
      </c>
      <c r="F80" s="40" t="inlineStr">
        <is>
          <t>假设撞上后两车粘在一起，各自的速度一下子变多少；轻的一方变化大</t>
        </is>
      </c>
      <c r="G80" s="40" t="inlineStr">
        <is>
          <t>车辆质量（按车型或外框大小估）</t>
        </is>
      </c>
      <c r="H80" s="40" t="inlineStr">
        <is>
          <t>m/s</t>
        </is>
      </c>
      <c r="I80" s="40" t="inlineStr">
        <is>
          <t>越大越严重</t>
        </is>
      </c>
      <c r="J80" s="40" t="inlineStr">
        <is>
          <t>事故重建；Shelby 2011；Extended Delta-V 见 Laureshyn 2017</t>
        </is>
      </c>
    </row>
    <row r="81" s="26">
      <c r="A81" s="47" t="inlineStr">
        <is>
          <t>对向/正面</t>
        </is>
      </c>
      <c r="B81" s="42" t="inlineStr">
        <is>
          <t>●</t>
        </is>
      </c>
      <c r="C81" s="39" t="inlineStr">
        <is>
          <t>最近距离 δ</t>
        </is>
      </c>
      <c r="D81" s="40" t="inlineStr">
        <is>
          <t>原始运动学量</t>
        </is>
      </c>
      <c r="E81" s="41" t="inlineStr">
        <is>
          <t>δ = 两车外框（矩形）之间的最短距离</t>
        </is>
      </c>
      <c r="F81" s="40" t="inlineStr">
        <is>
          <t>不分方向，两车车身最近的地方隔多远</t>
        </is>
      </c>
      <c r="G81" s="40" t="inlineStr">
        <is>
          <t>—</t>
        </is>
      </c>
      <c r="H81" s="40" t="inlineStr">
        <is>
          <t>m</t>
        </is>
      </c>
      <c r="I81" s="40" t="inlineStr">
        <is>
          <t>越小越危险</t>
        </is>
      </c>
      <c r="J81" s="40" t="inlineStr">
        <is>
          <t>—</t>
        </is>
      </c>
    </row>
    <row r="82" s="26">
      <c r="A82" s="47" t="inlineStr">
        <is>
          <t>对向/正面</t>
        </is>
      </c>
      <c r="B82" s="42" t="inlineStr">
        <is>
          <t>●</t>
        </is>
      </c>
      <c r="C82" s="39" t="inlineStr">
        <is>
          <t>接近速度 Δv</t>
        </is>
      </c>
      <c r="D82" s="40" t="inlineStr">
        <is>
          <t>原始运动学量</t>
        </is>
      </c>
      <c r="E82" s="41" t="inlineStr">
        <is>
          <t>Δv = v_F − v_L（纵向）；二维时 = 两车最短距离 δ 每秒缩短多少</t>
        </is>
      </c>
      <c r="F82" s="40" t="inlineStr">
        <is>
          <t>两车正以多快的速度靠近；大于 0 表示在靠近</t>
        </is>
      </c>
      <c r="G82" s="40" t="inlineStr">
        <is>
          <t>—</t>
        </is>
      </c>
      <c r="H82" s="40" t="inlineStr">
        <is>
          <t>m/s</t>
        </is>
      </c>
      <c r="I82" s="40" t="inlineStr">
        <is>
          <t>越大越危险</t>
        </is>
      </c>
      <c r="J82" s="40" t="inlineStr">
        <is>
          <t>—</t>
        </is>
      </c>
    </row>
    <row r="83" s="26">
      <c r="A83" s="47" t="inlineStr">
        <is>
          <t>对向/正面</t>
        </is>
      </c>
      <c r="B83" s="42" t="inlineStr">
        <is>
          <t>●</t>
        </is>
      </c>
      <c r="C83" s="39" t="inlineStr">
        <is>
          <t>ACT</t>
        </is>
      </c>
      <c r="D83" s="40" t="inlineStr">
        <is>
          <t>时间类·接近程度</t>
        </is>
      </c>
      <c r="E83" s="41" t="inlineStr">
        <is>
          <t>ACT = δ ÷ (δ 每秒缩短多少)；δ = 两车外框最短距离</t>
        </is>
      </c>
      <c r="F83" s="40" t="inlineStr">
        <is>
          <t>二维最短距离除以它的缩短速度；追尾、侧刮、对撞、斜角都能用</t>
        </is>
      </c>
      <c r="G83" s="40" t="inlineStr">
        <is>
          <t>—</t>
        </is>
      </c>
      <c r="H83" s="40" t="inlineStr">
        <is>
          <t>s</t>
        </is>
      </c>
      <c r="I83" s="40" t="inlineStr">
        <is>
          <t>越小越危险</t>
        </is>
      </c>
      <c r="J83" s="40" t="inlineStr">
        <is>
          <t>Venthuruthiyil &amp; Chunchu 2022</t>
        </is>
      </c>
    </row>
    <row r="84" s="26">
      <c r="A84" s="47" t="inlineStr">
        <is>
          <t>对向/正面</t>
        </is>
      </c>
      <c r="B84" s="42" t="inlineStr">
        <is>
          <t>●</t>
        </is>
      </c>
      <c r="C84" s="39" t="inlineStr">
        <is>
          <t>delta-V</t>
        </is>
      </c>
      <c r="D84" s="40" t="inlineStr">
        <is>
          <t>严重度类</t>
        </is>
      </c>
      <c r="E84" s="41" t="inlineStr">
        <is>
          <t>ΔV_F = m_L ÷ (m_F + m_L) × |v_F − v_L|（v 为速度向量）</t>
        </is>
      </c>
      <c r="F84" s="40" t="inlineStr">
        <is>
          <t>假设撞上后两车粘在一起，各自的速度一下子变多少；轻的一方变化大</t>
        </is>
      </c>
      <c r="G84" s="40" t="inlineStr">
        <is>
          <t>车辆质量（按车型或外框大小估）</t>
        </is>
      </c>
      <c r="H84" s="40" t="inlineStr">
        <is>
          <t>m/s</t>
        </is>
      </c>
      <c r="I84" s="40" t="inlineStr">
        <is>
          <t>越大越严重</t>
        </is>
      </c>
      <c r="J84" s="40" t="inlineStr">
        <is>
          <t>事故重建；Shelby 2011；Extended Delta-V 见 Laureshyn 2017</t>
        </is>
      </c>
    </row>
    <row r="85" s="26">
      <c r="A85" s="47" t="inlineStr">
        <is>
          <t>对向/正面</t>
        </is>
      </c>
      <c r="B85" s="42" t="inlineStr">
        <is>
          <t>○</t>
        </is>
      </c>
      <c r="C85" s="39" t="inlineStr">
        <is>
          <t>间距 d</t>
        </is>
      </c>
      <c r="D85" s="40" t="inlineStr">
        <is>
          <t>原始运动学量</t>
        </is>
      </c>
      <c r="E85" s="41" t="inlineStr">
        <is>
          <t>d = 前车车尾纵向位置 − 后车车头纵向位置</t>
        </is>
      </c>
      <c r="F85" s="40" t="inlineStr">
        <is>
          <t>沿行驶方向两车之间还隔多远；最基础的接近程度指标</t>
        </is>
      </c>
      <c r="G85" s="40" t="inlineStr">
        <is>
          <t>—</t>
        </is>
      </c>
      <c r="H85" s="40" t="inlineStr">
        <is>
          <t>m</t>
        </is>
      </c>
      <c r="I85" s="40" t="inlineStr">
        <is>
          <t>越小越危险</t>
        </is>
      </c>
      <c r="J85" s="40" t="inlineStr">
        <is>
          <t>—</t>
        </is>
      </c>
    </row>
    <row r="86" s="26">
      <c r="A86" s="47" t="inlineStr">
        <is>
          <t>对向/正面</t>
        </is>
      </c>
      <c r="B86" s="42" t="inlineStr">
        <is>
          <t>○</t>
        </is>
      </c>
      <c r="C86" s="39" t="inlineStr">
        <is>
          <t>横向间距</t>
        </is>
      </c>
      <c r="D86" s="40" t="inlineStr">
        <is>
          <t>原始运动学量</t>
        </is>
      </c>
      <c r="E86" s="41" t="inlineStr">
        <is>
          <t>横向间距 = |横向偏移| − (W_F + W_L) ÷ 2</t>
        </is>
      </c>
      <c r="F86" s="40" t="inlineStr">
        <is>
          <t>并排时两车侧面之间隔多远；负数表示横向已经重叠</t>
        </is>
      </c>
      <c r="G86" s="40" t="inlineStr">
        <is>
          <t>—</t>
        </is>
      </c>
      <c r="H86" s="40" t="inlineStr">
        <is>
          <t>m</t>
        </is>
      </c>
      <c r="I86" s="40" t="inlineStr">
        <is>
          <t>越小越危险</t>
        </is>
      </c>
      <c r="J86" s="40" t="inlineStr">
        <is>
          <t>—</t>
        </is>
      </c>
    </row>
    <row r="87" s="26">
      <c r="A87" s="47" t="inlineStr">
        <is>
          <t>对向/正面</t>
        </is>
      </c>
      <c r="B87" s="42" t="inlineStr">
        <is>
          <t>○</t>
        </is>
      </c>
      <c r="C87" s="39" t="inlineStr">
        <is>
          <t>速度 v</t>
        </is>
      </c>
      <c r="D87" s="40" t="inlineStr">
        <is>
          <t>原始运动学量</t>
        </is>
      </c>
      <c r="E87" s="41" t="inlineStr">
        <is>
          <t>v = √(v_x² + v_y²)</t>
        </is>
      </c>
      <c r="F87" s="40" t="inlineStr">
        <is>
          <t>车开多快；本身不是冲突指标，但决定一旦碰撞有多严重</t>
        </is>
      </c>
      <c r="G87" s="40" t="inlineStr">
        <is>
          <t>—</t>
        </is>
      </c>
      <c r="H87" s="40" t="inlineStr">
        <is>
          <t>m/s</t>
        </is>
      </c>
      <c r="I87" s="40" t="inlineStr">
        <is>
          <t>越大越严重（严重度）</t>
        </is>
      </c>
      <c r="J87" s="40" t="inlineStr">
        <is>
          <t>—</t>
        </is>
      </c>
    </row>
    <row r="88" s="26">
      <c r="A88" s="47" t="inlineStr">
        <is>
          <t>对向/正面</t>
        </is>
      </c>
      <c r="B88" s="42" t="inlineStr">
        <is>
          <t>○</t>
        </is>
      </c>
      <c r="C88" s="39" t="inlineStr">
        <is>
          <t>TTC</t>
        </is>
      </c>
      <c r="D88" s="40" t="inlineStr">
        <is>
          <t>时间类·接近程度</t>
        </is>
      </c>
      <c r="E88" s="41" t="inlineStr">
        <is>
          <t>TTC = d ÷ Δv（Δv &gt; 0；否则记为 ∞）</t>
        </is>
      </c>
      <c r="F88" s="40" t="inlineStr">
        <is>
          <t>两车都保持现在的速度，还剩几秒撞上</t>
        </is>
      </c>
      <c r="G88" s="40" t="inlineStr">
        <is>
          <t>—</t>
        </is>
      </c>
      <c r="H88" s="40" t="inlineStr">
        <is>
          <t>s</t>
        </is>
      </c>
      <c r="I88" s="40" t="inlineStr">
        <is>
          <t>越小越危险</t>
        </is>
      </c>
      <c r="J88" s="40" t="inlineStr">
        <is>
          <t>Hayward 1972</t>
        </is>
      </c>
    </row>
    <row r="89" s="26">
      <c r="A89" s="47" t="inlineStr">
        <is>
          <t>对向/正面</t>
        </is>
      </c>
      <c r="B89" s="42" t="inlineStr">
        <is>
          <t>○</t>
        </is>
      </c>
      <c r="C89" s="39" t="inlineStr">
        <is>
          <t>RTTC (ITTC)</t>
        </is>
      </c>
      <c r="D89" s="40" t="inlineStr">
        <is>
          <t>时间类·接近程度</t>
        </is>
      </c>
      <c r="E89" s="41" t="inlineStr">
        <is>
          <t>RTTC = Δv ÷ d = 1 ÷ TTC（不在靠近时为 0）</t>
        </is>
      </c>
      <c r="F89" s="40" t="inlineStr">
        <is>
          <t>TTC 的倒数；不会出现无穷大，排序和求平均方便</t>
        </is>
      </c>
      <c r="G89" s="40" t="inlineStr">
        <is>
          <t>—</t>
        </is>
      </c>
      <c r="H89" s="40" t="inlineStr">
        <is>
          <t>1/s</t>
        </is>
      </c>
      <c r="I89" s="40" t="inlineStr">
        <is>
          <t>越大越危险</t>
        </is>
      </c>
      <c r="J89" s="40" t="inlineStr">
        <is>
          <t>—</t>
        </is>
      </c>
    </row>
    <row r="90" s="26">
      <c r="A90" s="47" t="inlineStr">
        <is>
          <t>对向/正面</t>
        </is>
      </c>
      <c r="B90" s="42" t="inlineStr">
        <is>
          <t>○</t>
        </is>
      </c>
      <c r="C90" s="39" t="inlineStr">
        <is>
          <t>2D-TTC</t>
        </is>
      </c>
      <c r="D90" s="40" t="inlineStr">
        <is>
          <t>时间类·接近程度</t>
        </is>
      </c>
      <c r="E90" s="41" t="inlineStr">
        <is>
          <t>TTC_纵 = (s_纵 − L_前) ÷ Δv_纵；TTC_横 = (s_横 − W̄) ÷ Δv_横；2D-TTC = min(TTC_纵, TTC_横)（各自要求到那时另一个方向仍然重叠）。几何版：两车外框第一次重叠的时刻</t>
        </is>
      </c>
      <c r="F90" s="40" t="inlineStr">
        <is>
          <t>从后面追上还是从侧面刮蹭，取先发生的那个，还剩几秒</t>
        </is>
      </c>
      <c r="G90" s="40" t="inlineStr">
        <is>
          <t>—</t>
        </is>
      </c>
      <c r="H90" s="40" t="inlineStr">
        <is>
          <t>s</t>
        </is>
      </c>
      <c r="I90" s="40" t="inlineStr">
        <is>
          <t>越小越危险</t>
        </is>
      </c>
      <c r="J90" s="40" t="inlineStr">
        <is>
          <t>Guo、Xie &amp; Keyvan-Ekbatani 2023；演示脚本用的是几何版</t>
        </is>
      </c>
    </row>
    <row r="91" s="26">
      <c r="A91" s="47" t="inlineStr">
        <is>
          <t>对向/正面</t>
        </is>
      </c>
      <c r="B91" s="42" t="inlineStr">
        <is>
          <t>○</t>
        </is>
      </c>
      <c r="C91" s="39" t="inlineStr">
        <is>
          <t>MPrISM</t>
        </is>
      </c>
      <c r="D91" s="40" t="inlineStr">
        <is>
          <t>模型预测类</t>
        </is>
      </c>
      <c r="E91" s="41" t="inlineStr">
        <is>
          <t>h* = min(对方动作) max(自车动作) 第 n 步两车距离；MPrTTC = 第一个使 h* ≤ C 的时刻</t>
        </is>
      </c>
      <c r="F91" s="40" t="inlineStr">
        <is>
          <t>对方尽量往你身上撞、你尽量躲的最坏情况下，几秒后会撞上；预测时长内撞不上算安全</t>
        </is>
      </c>
      <c r="G91" s="40" t="inlineStr">
        <is>
          <t>车辆运动模型、动作范围、预测时长、碰撞距离 C（原文：1 s、2 m）</t>
        </is>
      </c>
      <c r="H91" s="40" t="inlineStr">
        <is>
          <t>s</t>
        </is>
      </c>
      <c r="I91" s="40" t="inlineStr">
        <is>
          <t>越小越危险</t>
        </is>
      </c>
      <c r="J91" s="40" t="inlineStr">
        <is>
          <t>Weng 等 2020</t>
        </is>
      </c>
    </row>
    <row r="92" s="26"/>
    <row r="93" s="26"/>
    <row r="94" s="26"/>
    <row r="95" s="26"/>
    <row r="96" s="26"/>
    <row r="97" s="26"/>
    <row r="98" s="26"/>
    <row r="99" s="26"/>
    <row r="100" s="26"/>
    <row r="101" s="26"/>
    <row r="102" s="26"/>
  </sheetData>
  <autoFilter ref="A5:J91"/>
  <mergeCells count="2">
    <mergeCell ref="A3:J3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pane xSplit="4" ySplit="19" topLeftCell="E20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32" sqref="A32:XFD33"/>
    </sheetView>
  </sheetViews>
  <sheetFormatPr baseColWidth="8" defaultRowHeight="14.15"/>
  <cols>
    <col width="13" customWidth="1" style="26" min="1" max="1"/>
    <col width="30" customWidth="1" style="26" min="2" max="2"/>
    <col width="13" customWidth="1" style="26" min="3" max="3"/>
    <col width="18" customWidth="1" style="26" min="4" max="4"/>
    <col width="12.4609375" customWidth="1" style="26" min="5" max="23"/>
  </cols>
  <sheetData>
    <row r="1">
      <c r="A1" s="33" t="inlineStr">
        <is>
          <t>✓ 可直接算　△ 有条件（看批注）　≈ 只能从画面近似　◇ 需先用 CV 重建轨迹　✗ 算不了</t>
        </is>
      </c>
    </row>
    <row r="2">
      <c r="A2" s="3" t="n"/>
      <c r="B2" s="3" t="n"/>
      <c r="C2" s="3" t="n"/>
      <c r="D2" s="3" t="n"/>
      <c r="E2" s="30" t="inlineStr">
        <is>
          <t>无人机 / 路侧俯视</t>
        </is>
      </c>
      <c r="F2" s="28" t="n"/>
      <c r="G2" s="28" t="n"/>
      <c r="H2" s="28" t="n"/>
      <c r="I2" s="28" t="n"/>
      <c r="J2" s="28" t="n"/>
      <c r="K2" s="28" t="n"/>
      <c r="L2" s="29" t="n"/>
      <c r="M2" s="31" t="inlineStr">
        <is>
          <t>自车视角（nuScenes 类）</t>
        </is>
      </c>
      <c r="N2" s="28" t="n"/>
      <c r="O2" s="28" t="n"/>
      <c r="P2" s="28" t="n"/>
      <c r="Q2" s="28" t="n"/>
      <c r="R2" s="28" t="n"/>
      <c r="S2" s="29" t="n"/>
      <c r="T2" s="32" t="inlineStr">
        <is>
          <t>危险场景 / 特殊</t>
        </is>
      </c>
      <c r="U2" s="28" t="n"/>
      <c r="V2" s="28" t="n"/>
      <c r="W2" s="29" t="n"/>
    </row>
    <row r="3" ht="45" customHeight="1" s="26">
      <c r="A3" s="12" t="inlineStr">
        <is>
          <t>指标</t>
        </is>
      </c>
      <c r="B3" s="12" t="inlineStr">
        <is>
          <t>全称</t>
        </is>
      </c>
      <c r="C3" s="12" t="inlineStr">
        <is>
          <t>类别</t>
        </is>
      </c>
      <c r="D3" s="12" t="inlineStr">
        <is>
          <t>需自设什么</t>
        </is>
      </c>
      <c r="E3" s="12" t="inlineStr">
        <is>
          <t>CitySim</t>
        </is>
      </c>
      <c r="F3" s="12" t="inlineStr">
        <is>
          <t>NGSIM</t>
        </is>
      </c>
      <c r="G3" s="12" t="inlineStr">
        <is>
          <t>highD</t>
        </is>
      </c>
      <c r="H3" s="12" t="inlineStr">
        <is>
          <t>exiD</t>
        </is>
      </c>
      <c r="I3" s="12" t="inlineStr">
        <is>
          <t>inD / rounD</t>
        </is>
      </c>
      <c r="J3" s="12" t="inlineStr">
        <is>
          <t>SinD</t>
        </is>
      </c>
      <c r="K3" s="12" t="inlineStr">
        <is>
          <t>INTERACTION</t>
        </is>
      </c>
      <c r="L3" s="12" t="inlineStr">
        <is>
          <t>TGSIM</t>
        </is>
      </c>
      <c r="M3" s="12" t="inlineStr">
        <is>
          <t>nuScenes</t>
        </is>
      </c>
      <c r="N3" s="12" t="inlineStr">
        <is>
          <t>Argoverse 2 传感器</t>
        </is>
      </c>
      <c r="O3" s="12" t="inlineStr">
        <is>
          <t>Waymo 感知</t>
        </is>
      </c>
      <c r="P3" s="12" t="inlineStr">
        <is>
          <t>KITTI 跟踪</t>
        </is>
      </c>
      <c r="Q3" s="12" t="inlineStr">
        <is>
          <t>PandaSet</t>
        </is>
      </c>
      <c r="R3" s="12" t="inlineStr">
        <is>
          <t>nuPlan</t>
        </is>
      </c>
      <c r="S3" s="12" t="inlineStr">
        <is>
          <t>Waymo 运动预测</t>
        </is>
      </c>
      <c r="T3" s="12" t="inlineStr">
        <is>
          <t>DeepAccident（仿真）</t>
        </is>
      </c>
      <c r="U3" s="12" t="inlineStr">
        <is>
          <t>Waymo WOD-E2E</t>
        </is>
      </c>
      <c r="V3" s="12" t="inlineStr">
        <is>
          <t>Nexar / DoTA / CCD</t>
        </is>
      </c>
      <c r="W3" s="12" t="inlineStr">
        <is>
          <t>100-Car 公开部分</t>
        </is>
      </c>
    </row>
    <row r="4" ht="62.05" customHeight="1" s="26">
      <c r="A4" s="27" t="inlineStr">
        <is>
          <t>图像 / 视频</t>
        </is>
      </c>
      <c r="B4" s="28" t="n"/>
      <c r="C4" s="28" t="n"/>
      <c r="D4" s="29" t="n"/>
      <c r="E4" s="13" t="inlineStr">
        <is>
          <t>航拍背景图（原始视频是否公开未说明）</t>
        </is>
      </c>
      <c r="F4" s="13" t="inlineStr">
        <is>
          <t>✓ 原始视频可下载</t>
        </is>
      </c>
      <c r="G4" s="13" t="inlineStr">
        <is>
          <t>每段录像一张航拍背景图</t>
        </is>
      </c>
      <c r="H4" s="13" t="inlineStr">
        <is>
          <t>每段录像一张航拍背景图</t>
        </is>
      </c>
      <c r="I4" s="13" t="inlineStr">
        <is>
          <t>每段录像一张航拍背景图</t>
        </is>
      </c>
      <c r="J4" s="13" t="inlineStr">
        <is>
          <t>4K 无人机拍摄；公开包是否含视频未确认</t>
        </is>
      </c>
      <c r="K4" s="13" t="inlineStr">
        <is>
          <t>没查到公开视频</t>
        </is>
      </c>
      <c r="L4" s="13" t="inlineStr">
        <is>
          <t>只有参考图像</t>
        </is>
      </c>
      <c r="M4" s="13" t="inlineStr">
        <is>
          <t>✓ 自车 6 相机（约 12 Hz）</t>
        </is>
      </c>
      <c r="N4" s="13" t="inlineStr">
        <is>
          <t>✓ 自车 7 环视 + 2 双目相机</t>
        </is>
      </c>
      <c r="O4" s="13" t="inlineStr">
        <is>
          <t>✓ 自车 5 相机</t>
        </is>
      </c>
      <c r="P4" s="13" t="inlineStr">
        <is>
          <t>✓ 自车前向双目相机</t>
        </is>
      </c>
      <c r="Q4" s="13" t="inlineStr">
        <is>
          <t>✓ 自车 6 相机</t>
        </is>
      </c>
      <c r="R4" s="13" t="inlineStr">
        <is>
          <t>✓ 自车 8 相机（只有 128 小时传感器子集）</t>
        </is>
      </c>
      <c r="S4" s="13" t="inlineStr">
        <is>
          <t>没有原始图像（只有相机特征向量）</t>
        </is>
      </c>
      <c r="T4" s="13" t="inlineStr">
        <is>
          <t>✓ 多车视角相机 + 路侧（仿真画面）</t>
        </is>
      </c>
      <c r="U4" s="13" t="inlineStr">
        <is>
          <t>✓ 自车 8 相机</t>
        </is>
      </c>
      <c r="V4" s="13" t="inlineStr">
        <is>
          <t>✓ 行车记录仪视频</t>
        </is>
      </c>
      <c r="W4" s="13" t="inlineStr">
        <is>
          <t>无（视频不公开）</t>
        </is>
      </c>
    </row>
    <row r="5" ht="62.05" customHeight="1" s="26">
      <c r="A5" s="27" t="inlineStr">
        <is>
          <t>危险场景（大致判断）</t>
        </is>
      </c>
      <c r="B5" s="28" t="n"/>
      <c r="C5" s="28" t="n"/>
      <c r="D5" s="29" t="n"/>
      <c r="E5" s="13" t="inlineStr">
        <is>
          <t>较多（论文称切入、汇入、分流等事件明显多于其他视频数据集）</t>
        </is>
      </c>
      <c r="F5" s="13" t="inlineStr">
        <is>
          <t>少</t>
        </is>
      </c>
      <c r="G5" s="13" t="inlineStr">
        <is>
          <t>很少（没有碰撞）</t>
        </is>
      </c>
      <c r="H5" s="13" t="inlineStr">
        <is>
          <t>少（汇入、分流有一些）</t>
        </is>
      </c>
      <c r="I5" s="13" t="inlineStr">
        <is>
          <t>少</t>
        </is>
      </c>
      <c r="J5" s="13" t="inlineStr">
        <is>
          <t>中（含闯红灯等违规）</t>
        </is>
      </c>
      <c r="K5" s="13" t="inlineStr">
        <is>
          <t>中（交互激烈）</t>
        </is>
      </c>
      <c r="L5" s="13" t="inlineStr">
        <is>
          <t>少</t>
        </is>
      </c>
      <c r="M5" s="13" t="inlineStr">
        <is>
          <t>少</t>
        </is>
      </c>
      <c r="N5" s="13" t="inlineStr">
        <is>
          <t>少</t>
        </is>
      </c>
      <c r="O5" s="13" t="inlineStr">
        <is>
          <t>少</t>
        </is>
      </c>
      <c r="P5" s="13" t="inlineStr">
        <is>
          <t>少</t>
        </is>
      </c>
      <c r="Q5" s="13" t="inlineStr">
        <is>
          <t>少</t>
        </is>
      </c>
      <c r="R5" s="13" t="inlineStr">
        <is>
          <t>少（但总量大）</t>
        </is>
      </c>
      <c r="S5" s="13" t="inlineStr">
        <is>
          <t>中（专门挑选了交互场景）</t>
        </is>
      </c>
      <c r="T5" s="13" t="inlineStr">
        <is>
          <t>多（有真实发生的碰撞，但是仿真）</t>
        </is>
      </c>
      <c r="U5" s="13" t="inlineStr">
        <is>
          <t>多（罕见困难场景）</t>
        </is>
      </c>
      <c r="V5" s="13" t="inlineStr">
        <is>
          <t>多（真实碰撞、险情）</t>
        </is>
      </c>
      <c r="W5" s="13" t="inlineStr">
        <is>
          <t>多（60 起碰撞 + 768 起险情）</t>
        </is>
      </c>
    </row>
    <row r="6">
      <c r="A6" s="14" t="inlineStr">
        <is>
          <t>TTC</t>
        </is>
      </c>
      <c r="B6" s="15" t="inlineStr">
        <is>
          <t>time to collision</t>
        </is>
      </c>
      <c r="C6" s="15" t="inlineStr">
        <is>
          <t>纵向·时间</t>
        </is>
      </c>
      <c r="D6" s="15" t="n"/>
      <c r="E6" s="16" t="inlineStr">
        <is>
          <t>✓</t>
        </is>
      </c>
      <c r="F6" s="16" t="inlineStr">
        <is>
          <t>✓</t>
        </is>
      </c>
      <c r="G6" s="16" t="inlineStr">
        <is>
          <t>✓</t>
        </is>
      </c>
      <c r="H6" s="16" t="inlineStr">
        <is>
          <t>✓</t>
        </is>
      </c>
      <c r="I6" s="16" t="inlineStr">
        <is>
          <t>✓</t>
        </is>
      </c>
      <c r="J6" s="16" t="inlineStr">
        <is>
          <t>✓</t>
        </is>
      </c>
      <c r="K6" s="16" t="inlineStr">
        <is>
          <t>✓</t>
        </is>
      </c>
      <c r="L6" s="16" t="inlineStr">
        <is>
          <t>✓</t>
        </is>
      </c>
      <c r="M6" s="16" t="inlineStr">
        <is>
          <t>✓</t>
        </is>
      </c>
      <c r="N6" s="16" t="inlineStr">
        <is>
          <t>✓</t>
        </is>
      </c>
      <c r="O6" s="16" t="inlineStr">
        <is>
          <t>✓</t>
        </is>
      </c>
      <c r="P6" s="17" t="inlineStr">
        <is>
          <t>△</t>
        </is>
      </c>
      <c r="Q6" s="17" t="inlineStr">
        <is>
          <t>△</t>
        </is>
      </c>
      <c r="R6" s="16" t="inlineStr">
        <is>
          <t>✓</t>
        </is>
      </c>
      <c r="S6" s="16" t="inlineStr">
        <is>
          <t>✓</t>
        </is>
      </c>
      <c r="T6" s="16" t="inlineStr">
        <is>
          <t>✓</t>
        </is>
      </c>
      <c r="U6" s="18" t="inlineStr">
        <is>
          <t>≈</t>
        </is>
      </c>
      <c r="V6" s="18" t="inlineStr">
        <is>
          <t>≈</t>
        </is>
      </c>
      <c r="W6" s="16" t="inlineStr">
        <is>
          <t>✓</t>
        </is>
      </c>
    </row>
    <row r="7">
      <c r="A7" s="14" t="inlineStr">
        <is>
          <t>PET</t>
        </is>
      </c>
      <c r="B7" s="15" t="inlineStr">
        <is>
          <t>post-encroachment time</t>
        </is>
      </c>
      <c r="C7" s="15" t="inlineStr">
        <is>
          <t>交叉</t>
        </is>
      </c>
      <c r="D7" s="15" t="n"/>
      <c r="E7" s="16" t="inlineStr">
        <is>
          <t>✓</t>
        </is>
      </c>
      <c r="F7" s="16" t="inlineStr">
        <is>
          <t>✓</t>
        </is>
      </c>
      <c r="G7" s="17" t="inlineStr">
        <is>
          <t>△</t>
        </is>
      </c>
      <c r="H7" s="16" t="inlineStr">
        <is>
          <t>✓</t>
        </is>
      </c>
      <c r="I7" s="16" t="inlineStr">
        <is>
          <t>✓</t>
        </is>
      </c>
      <c r="J7" s="16" t="inlineStr">
        <is>
          <t>✓</t>
        </is>
      </c>
      <c r="K7" s="16" t="inlineStr">
        <is>
          <t>✓</t>
        </is>
      </c>
      <c r="L7" s="16" t="inlineStr">
        <is>
          <t>✓</t>
        </is>
      </c>
      <c r="M7" s="17" t="inlineStr">
        <is>
          <t>△</t>
        </is>
      </c>
      <c r="N7" s="17" t="inlineStr">
        <is>
          <t>△</t>
        </is>
      </c>
      <c r="O7" s="17" t="inlineStr">
        <is>
          <t>△</t>
        </is>
      </c>
      <c r="P7" s="17" t="inlineStr">
        <is>
          <t>△</t>
        </is>
      </c>
      <c r="Q7" s="17" t="inlineStr">
        <is>
          <t>△</t>
        </is>
      </c>
      <c r="R7" s="16" t="inlineStr">
        <is>
          <t>✓</t>
        </is>
      </c>
      <c r="S7" s="16" t="inlineStr">
        <is>
          <t>✓</t>
        </is>
      </c>
      <c r="T7" s="16" t="inlineStr">
        <is>
          <t>✓</t>
        </is>
      </c>
      <c r="U7" s="19" t="inlineStr">
        <is>
          <t>◇</t>
        </is>
      </c>
      <c r="V7" s="19" t="inlineStr">
        <is>
          <t>◇</t>
        </is>
      </c>
      <c r="W7" s="20" t="inlineStr">
        <is>
          <t>✗</t>
        </is>
      </c>
    </row>
    <row r="8">
      <c r="A8" s="14" t="inlineStr">
        <is>
          <t>DRAC</t>
        </is>
      </c>
      <c r="B8" s="15" t="inlineStr">
        <is>
          <t>deceleration rate to avoid crash</t>
        </is>
      </c>
      <c r="C8" s="15" t="inlineStr">
        <is>
          <t>纵向·减速度</t>
        </is>
      </c>
      <c r="D8" s="15" t="n"/>
      <c r="E8" s="16" t="inlineStr">
        <is>
          <t>✓</t>
        </is>
      </c>
      <c r="F8" s="16" t="inlineStr">
        <is>
          <t>✓</t>
        </is>
      </c>
      <c r="G8" s="16" t="inlineStr">
        <is>
          <t>✓</t>
        </is>
      </c>
      <c r="H8" s="16" t="inlineStr">
        <is>
          <t>✓</t>
        </is>
      </c>
      <c r="I8" s="16" t="inlineStr">
        <is>
          <t>✓</t>
        </is>
      </c>
      <c r="J8" s="16" t="inlineStr">
        <is>
          <t>✓</t>
        </is>
      </c>
      <c r="K8" s="16" t="inlineStr">
        <is>
          <t>✓</t>
        </is>
      </c>
      <c r="L8" s="16" t="inlineStr">
        <is>
          <t>✓</t>
        </is>
      </c>
      <c r="M8" s="16" t="inlineStr">
        <is>
          <t>✓</t>
        </is>
      </c>
      <c r="N8" s="16" t="inlineStr">
        <is>
          <t>✓</t>
        </is>
      </c>
      <c r="O8" s="16" t="inlineStr">
        <is>
          <t>✓</t>
        </is>
      </c>
      <c r="P8" s="17" t="inlineStr">
        <is>
          <t>△</t>
        </is>
      </c>
      <c r="Q8" s="17" t="inlineStr">
        <is>
          <t>△</t>
        </is>
      </c>
      <c r="R8" s="16" t="inlineStr">
        <is>
          <t>✓</t>
        </is>
      </c>
      <c r="S8" s="16" t="inlineStr">
        <is>
          <t>✓</t>
        </is>
      </c>
      <c r="T8" s="16" t="inlineStr">
        <is>
          <t>✓</t>
        </is>
      </c>
      <c r="U8" s="19" t="inlineStr">
        <is>
          <t>◇</t>
        </is>
      </c>
      <c r="V8" s="19" t="inlineStr">
        <is>
          <t>◇</t>
        </is>
      </c>
      <c r="W8" s="16" t="inlineStr">
        <is>
          <t>✓</t>
        </is>
      </c>
    </row>
    <row r="9">
      <c r="A9" s="14" t="inlineStr">
        <is>
          <t>MTTC</t>
        </is>
      </c>
      <c r="B9" s="15" t="inlineStr">
        <is>
          <t>modified time to collision</t>
        </is>
      </c>
      <c r="C9" s="15" t="inlineStr">
        <is>
          <t>纵向·时间</t>
        </is>
      </c>
      <c r="D9" s="15" t="n"/>
      <c r="E9" s="17" t="inlineStr">
        <is>
          <t>△</t>
        </is>
      </c>
      <c r="F9" s="17" t="inlineStr">
        <is>
          <t>△</t>
        </is>
      </c>
      <c r="G9" s="16" t="inlineStr">
        <is>
          <t>✓</t>
        </is>
      </c>
      <c r="H9" s="16" t="inlineStr">
        <is>
          <t>✓</t>
        </is>
      </c>
      <c r="I9" s="16" t="inlineStr">
        <is>
          <t>✓</t>
        </is>
      </c>
      <c r="J9" s="16" t="inlineStr">
        <is>
          <t>✓</t>
        </is>
      </c>
      <c r="K9" s="17" t="inlineStr">
        <is>
          <t>△</t>
        </is>
      </c>
      <c r="L9" s="17" t="inlineStr">
        <is>
          <t>△</t>
        </is>
      </c>
      <c r="M9" s="17" t="inlineStr">
        <is>
          <t>△</t>
        </is>
      </c>
      <c r="N9" s="17" t="inlineStr">
        <is>
          <t>△</t>
        </is>
      </c>
      <c r="O9" s="48" t="inlineStr">
        <is>
          <t>✓</t>
        </is>
      </c>
      <c r="P9" s="17" t="inlineStr">
        <is>
          <t>△</t>
        </is>
      </c>
      <c r="Q9" s="17" t="inlineStr">
        <is>
          <t>△</t>
        </is>
      </c>
      <c r="R9" s="17" t="inlineStr">
        <is>
          <t>△</t>
        </is>
      </c>
      <c r="S9" s="17" t="inlineStr">
        <is>
          <t>△</t>
        </is>
      </c>
      <c r="T9" s="16" t="inlineStr">
        <is>
          <t>✓</t>
        </is>
      </c>
      <c r="U9" s="19" t="inlineStr">
        <is>
          <t>◇</t>
        </is>
      </c>
      <c r="V9" s="19" t="inlineStr">
        <is>
          <t>◇</t>
        </is>
      </c>
      <c r="W9" s="17" t="inlineStr">
        <is>
          <t>△</t>
        </is>
      </c>
    </row>
    <row r="10">
      <c r="A10" s="14" t="inlineStr">
        <is>
          <t>RTTC (ITTC)</t>
        </is>
      </c>
      <c r="B10" s="15" t="inlineStr">
        <is>
          <t>reciprocal of TTC</t>
        </is>
      </c>
      <c r="C10" s="15" t="inlineStr">
        <is>
          <t>纵向·时间</t>
        </is>
      </c>
      <c r="D10" s="15" t="n"/>
      <c r="E10" s="16" t="inlineStr">
        <is>
          <t>✓</t>
        </is>
      </c>
      <c r="F10" s="16" t="inlineStr">
        <is>
          <t>✓</t>
        </is>
      </c>
      <c r="G10" s="16" t="inlineStr">
        <is>
          <t>✓</t>
        </is>
      </c>
      <c r="H10" s="16" t="inlineStr">
        <is>
          <t>✓</t>
        </is>
      </c>
      <c r="I10" s="16" t="inlineStr">
        <is>
          <t>✓</t>
        </is>
      </c>
      <c r="J10" s="16" t="inlineStr">
        <is>
          <t>✓</t>
        </is>
      </c>
      <c r="K10" s="16" t="inlineStr">
        <is>
          <t>✓</t>
        </is>
      </c>
      <c r="L10" s="16" t="inlineStr">
        <is>
          <t>✓</t>
        </is>
      </c>
      <c r="M10" s="16" t="inlineStr">
        <is>
          <t>✓</t>
        </is>
      </c>
      <c r="N10" s="16" t="inlineStr">
        <is>
          <t>✓</t>
        </is>
      </c>
      <c r="O10" s="16" t="inlineStr">
        <is>
          <t>✓</t>
        </is>
      </c>
      <c r="P10" s="17" t="inlineStr">
        <is>
          <t>△</t>
        </is>
      </c>
      <c r="Q10" s="17" t="inlineStr">
        <is>
          <t>△</t>
        </is>
      </c>
      <c r="R10" s="16" t="inlineStr">
        <is>
          <t>✓</t>
        </is>
      </c>
      <c r="S10" s="16" t="inlineStr">
        <is>
          <t>✓</t>
        </is>
      </c>
      <c r="T10" s="16" t="inlineStr">
        <is>
          <t>✓</t>
        </is>
      </c>
      <c r="U10" s="18" t="inlineStr">
        <is>
          <t>≈</t>
        </is>
      </c>
      <c r="V10" s="18" t="inlineStr">
        <is>
          <t>≈</t>
        </is>
      </c>
      <c r="W10" s="16" t="inlineStr">
        <is>
          <t>✓</t>
        </is>
      </c>
    </row>
    <row r="11">
      <c r="A11" s="14" t="inlineStr">
        <is>
          <t>2D-TTC</t>
        </is>
      </c>
      <c r="B11" s="15" t="inlineStr">
        <is>
          <t>two-dimensional TTC</t>
        </is>
      </c>
      <c r="C11" s="15" t="inlineStr">
        <is>
          <t>二维</t>
        </is>
      </c>
      <c r="D11" s="15" t="n"/>
      <c r="E11" s="16" t="inlineStr">
        <is>
          <t>✓</t>
        </is>
      </c>
      <c r="F11" s="17" t="inlineStr">
        <is>
          <t>△</t>
        </is>
      </c>
      <c r="G11" s="17" t="inlineStr">
        <is>
          <t>△</t>
        </is>
      </c>
      <c r="H11" s="16" t="inlineStr">
        <is>
          <t>✓</t>
        </is>
      </c>
      <c r="I11" s="16" t="inlineStr">
        <is>
          <t>✓</t>
        </is>
      </c>
      <c r="J11" s="16" t="inlineStr">
        <is>
          <t>✓</t>
        </is>
      </c>
      <c r="K11" s="16" t="inlineStr">
        <is>
          <t>✓</t>
        </is>
      </c>
      <c r="L11" s="17" t="inlineStr">
        <is>
          <t>△</t>
        </is>
      </c>
      <c r="M11" s="16" t="inlineStr">
        <is>
          <t>✓</t>
        </is>
      </c>
      <c r="N11" s="16" t="inlineStr">
        <is>
          <t>✓</t>
        </is>
      </c>
      <c r="O11" s="16" t="inlineStr">
        <is>
          <t>✓</t>
        </is>
      </c>
      <c r="P11" s="16" t="inlineStr">
        <is>
          <t>✓</t>
        </is>
      </c>
      <c r="Q11" s="16" t="inlineStr">
        <is>
          <t>✓</t>
        </is>
      </c>
      <c r="R11" s="16" t="inlineStr">
        <is>
          <t>✓</t>
        </is>
      </c>
      <c r="S11" s="16" t="inlineStr">
        <is>
          <t>✓</t>
        </is>
      </c>
      <c r="T11" s="16" t="inlineStr">
        <is>
          <t>✓</t>
        </is>
      </c>
      <c r="U11" s="19" t="inlineStr">
        <is>
          <t>◇</t>
        </is>
      </c>
      <c r="V11" s="19" t="inlineStr">
        <is>
          <t>◇</t>
        </is>
      </c>
      <c r="W11" s="20" t="inlineStr">
        <is>
          <t>✗</t>
        </is>
      </c>
    </row>
    <row r="12" ht="23.15" customHeight="1" s="26">
      <c r="A12" s="14" t="inlineStr">
        <is>
          <t>MPrISM</t>
        </is>
      </c>
      <c r="B12" s="15" t="inlineStr">
        <is>
          <t>model predictive instantaneous safety metric</t>
        </is>
      </c>
      <c r="C12" s="15" t="inlineStr">
        <is>
          <t>二维·模型预测</t>
        </is>
      </c>
      <c r="D12" s="15" t="inlineStr">
        <is>
          <t>车辆动力学模型和最坏情况的设定</t>
        </is>
      </c>
      <c r="E12" s="21" t="inlineStr">
        <is>
          <t>◐</t>
        </is>
      </c>
      <c r="F12" s="17" t="inlineStr">
        <is>
          <t>△</t>
        </is>
      </c>
      <c r="G12" s="17" t="inlineStr">
        <is>
          <t>△</t>
        </is>
      </c>
      <c r="H12" s="21" t="inlineStr">
        <is>
          <t>◐</t>
        </is>
      </c>
      <c r="I12" s="21" t="inlineStr">
        <is>
          <t>◐</t>
        </is>
      </c>
      <c r="J12" s="21" t="inlineStr">
        <is>
          <t>◐</t>
        </is>
      </c>
      <c r="K12" s="21" t="inlineStr">
        <is>
          <t>◐</t>
        </is>
      </c>
      <c r="L12" s="17" t="inlineStr">
        <is>
          <t>△</t>
        </is>
      </c>
      <c r="M12" s="21" t="inlineStr">
        <is>
          <t>◐</t>
        </is>
      </c>
      <c r="N12" s="21" t="inlineStr">
        <is>
          <t>◐</t>
        </is>
      </c>
      <c r="O12" s="21" t="inlineStr">
        <is>
          <t>◐</t>
        </is>
      </c>
      <c r="P12" s="21" t="inlineStr">
        <is>
          <t>◐</t>
        </is>
      </c>
      <c r="Q12" s="21" t="inlineStr">
        <is>
          <t>◐</t>
        </is>
      </c>
      <c r="R12" s="21" t="inlineStr">
        <is>
          <t>◐</t>
        </is>
      </c>
      <c r="S12" s="21" t="inlineStr">
        <is>
          <t>◐</t>
        </is>
      </c>
      <c r="T12" s="21" t="inlineStr">
        <is>
          <t>◐</t>
        </is>
      </c>
      <c r="U12" s="19" t="inlineStr">
        <is>
          <t>◇</t>
        </is>
      </c>
      <c r="V12" s="19" t="inlineStr">
        <is>
          <t>◇</t>
        </is>
      </c>
      <c r="W12" s="20" t="inlineStr">
        <is>
          <t>✗</t>
        </is>
      </c>
    </row>
    <row r="13" s="26">
      <c r="A13" s="14" t="inlineStr">
        <is>
          <t>THW</t>
        </is>
      </c>
      <c r="B13" s="15" t="inlineStr">
        <is>
          <t>time headway</t>
        </is>
      </c>
      <c r="C13" s="15" t="inlineStr">
        <is>
          <t>纵向·时间</t>
        </is>
      </c>
      <c r="D13" s="15" t="n"/>
      <c r="E13" s="16" t="inlineStr">
        <is>
          <t>✓</t>
        </is>
      </c>
      <c r="F13" s="16" t="inlineStr">
        <is>
          <t>✓</t>
        </is>
      </c>
      <c r="G13" s="16" t="inlineStr">
        <is>
          <t>✓</t>
        </is>
      </c>
      <c r="H13" s="16" t="inlineStr">
        <is>
          <t>✓</t>
        </is>
      </c>
      <c r="I13" s="16" t="inlineStr">
        <is>
          <t>✓</t>
        </is>
      </c>
      <c r="J13" s="16" t="inlineStr">
        <is>
          <t>✓</t>
        </is>
      </c>
      <c r="K13" s="16" t="inlineStr">
        <is>
          <t>✓</t>
        </is>
      </c>
      <c r="L13" s="16" t="inlineStr">
        <is>
          <t>✓</t>
        </is>
      </c>
      <c r="M13" s="16" t="inlineStr">
        <is>
          <t>✓</t>
        </is>
      </c>
      <c r="N13" s="16" t="inlineStr">
        <is>
          <t>✓</t>
        </is>
      </c>
      <c r="O13" s="16" t="inlineStr">
        <is>
          <t>✓</t>
        </is>
      </c>
      <c r="P13" s="17" t="inlineStr">
        <is>
          <t>△</t>
        </is>
      </c>
      <c r="Q13" s="17" t="inlineStr">
        <is>
          <t>△</t>
        </is>
      </c>
      <c r="R13" s="16" t="inlineStr">
        <is>
          <t>✓</t>
        </is>
      </c>
      <c r="S13" s="16" t="inlineStr">
        <is>
          <t>✓</t>
        </is>
      </c>
      <c r="T13" s="16" t="inlineStr">
        <is>
          <t>✓</t>
        </is>
      </c>
      <c r="U13" s="19" t="inlineStr">
        <is>
          <t>◇</t>
        </is>
      </c>
      <c r="V13" s="19" t="inlineStr">
        <is>
          <t>◇</t>
        </is>
      </c>
      <c r="W13" s="16" t="inlineStr">
        <is>
          <t>✓</t>
        </is>
      </c>
    </row>
    <row r="14" s="26">
      <c r="A14" s="14" t="inlineStr">
        <is>
          <t>PSD</t>
        </is>
      </c>
      <c r="B14" s="15" t="inlineStr">
        <is>
          <t>proportion of stopping distance</t>
        </is>
      </c>
      <c r="C14" s="15" t="inlineStr">
        <is>
          <t>纵向·距离</t>
        </is>
      </c>
      <c r="D14" s="15" t="inlineStr">
        <is>
          <t>最大可接受减速度</t>
        </is>
      </c>
      <c r="E14" s="21" t="inlineStr">
        <is>
          <t>◐</t>
        </is>
      </c>
      <c r="F14" s="21" t="inlineStr">
        <is>
          <t>◐</t>
        </is>
      </c>
      <c r="G14" s="21" t="inlineStr">
        <is>
          <t>◐</t>
        </is>
      </c>
      <c r="H14" s="21" t="inlineStr">
        <is>
          <t>◐</t>
        </is>
      </c>
      <c r="I14" s="21" t="inlineStr">
        <is>
          <t>◐</t>
        </is>
      </c>
      <c r="J14" s="21" t="inlineStr">
        <is>
          <t>◐</t>
        </is>
      </c>
      <c r="K14" s="21" t="inlineStr">
        <is>
          <t>◐</t>
        </is>
      </c>
      <c r="L14" s="21" t="inlineStr">
        <is>
          <t>◐</t>
        </is>
      </c>
      <c r="M14" s="21" t="inlineStr">
        <is>
          <t>◐</t>
        </is>
      </c>
      <c r="N14" s="21" t="inlineStr">
        <is>
          <t>◐</t>
        </is>
      </c>
      <c r="O14" s="21" t="inlineStr">
        <is>
          <t>◐</t>
        </is>
      </c>
      <c r="P14" s="17" t="inlineStr">
        <is>
          <t>△</t>
        </is>
      </c>
      <c r="Q14" s="17" t="inlineStr">
        <is>
          <t>△</t>
        </is>
      </c>
      <c r="R14" s="21" t="inlineStr">
        <is>
          <t>◐</t>
        </is>
      </c>
      <c r="S14" s="21" t="inlineStr">
        <is>
          <t>◐</t>
        </is>
      </c>
      <c r="T14" s="21" t="inlineStr">
        <is>
          <t>◐</t>
        </is>
      </c>
      <c r="U14" s="19" t="inlineStr">
        <is>
          <t>◇</t>
        </is>
      </c>
      <c r="V14" s="19" t="inlineStr">
        <is>
          <t>◇</t>
        </is>
      </c>
      <c r="W14" s="21" t="inlineStr">
        <is>
          <t>◐</t>
        </is>
      </c>
    </row>
    <row r="15" ht="23.15" customHeight="1" s="26">
      <c r="A15" s="14" t="inlineStr">
        <is>
          <t>PICUD</t>
        </is>
      </c>
      <c r="B15" s="15" t="inlineStr">
        <is>
          <t>potential index for collision with urgent deceleration</t>
        </is>
      </c>
      <c r="C15" s="15" t="inlineStr">
        <is>
          <t>纵向·距离</t>
        </is>
      </c>
      <c r="D15" s="15" t="inlineStr">
        <is>
          <t>反应时间、急刹减速度</t>
        </is>
      </c>
      <c r="E15" s="21" t="inlineStr">
        <is>
          <t>◐</t>
        </is>
      </c>
      <c r="F15" s="21" t="inlineStr">
        <is>
          <t>◐</t>
        </is>
      </c>
      <c r="G15" s="21" t="inlineStr">
        <is>
          <t>◐</t>
        </is>
      </c>
      <c r="H15" s="21" t="inlineStr">
        <is>
          <t>◐</t>
        </is>
      </c>
      <c r="I15" s="21" t="inlineStr">
        <is>
          <t>◐</t>
        </is>
      </c>
      <c r="J15" s="21" t="inlineStr">
        <is>
          <t>◐</t>
        </is>
      </c>
      <c r="K15" s="21" t="inlineStr">
        <is>
          <t>◐</t>
        </is>
      </c>
      <c r="L15" s="21" t="inlineStr">
        <is>
          <t>◐</t>
        </is>
      </c>
      <c r="M15" s="21" t="inlineStr">
        <is>
          <t>◐</t>
        </is>
      </c>
      <c r="N15" s="21" t="inlineStr">
        <is>
          <t>◐</t>
        </is>
      </c>
      <c r="O15" s="21" t="inlineStr">
        <is>
          <t>◐</t>
        </is>
      </c>
      <c r="P15" s="17" t="inlineStr">
        <is>
          <t>△</t>
        </is>
      </c>
      <c r="Q15" s="17" t="inlineStr">
        <is>
          <t>△</t>
        </is>
      </c>
      <c r="R15" s="21" t="inlineStr">
        <is>
          <t>◐</t>
        </is>
      </c>
      <c r="S15" s="21" t="inlineStr">
        <is>
          <t>◐</t>
        </is>
      </c>
      <c r="T15" s="21" t="inlineStr">
        <is>
          <t>◐</t>
        </is>
      </c>
      <c r="U15" s="19" t="inlineStr">
        <is>
          <t>◇</t>
        </is>
      </c>
      <c r="V15" s="19" t="inlineStr">
        <is>
          <t>◇</t>
        </is>
      </c>
      <c r="W15" s="21" t="inlineStr">
        <is>
          <t>◐</t>
        </is>
      </c>
    </row>
    <row r="16" ht="23.15" customHeight="1" s="26">
      <c r="A16" s="14" t="inlineStr">
        <is>
          <t>DST</t>
        </is>
      </c>
      <c r="B16" s="15" t="inlineStr">
        <is>
          <t>deceleration to safety time</t>
        </is>
      </c>
      <c r="C16" s="15" t="inlineStr">
        <is>
          <t>纵向·减速度</t>
        </is>
      </c>
      <c r="D16" s="15" t="inlineStr">
        <is>
          <t>安全时距（NHTSA 那篇用 1.4 秒）</t>
        </is>
      </c>
      <c r="E16" s="21" t="inlineStr">
        <is>
          <t>◐</t>
        </is>
      </c>
      <c r="F16" s="21" t="inlineStr">
        <is>
          <t>◐</t>
        </is>
      </c>
      <c r="G16" s="21" t="inlineStr">
        <is>
          <t>◐</t>
        </is>
      </c>
      <c r="H16" s="21" t="inlineStr">
        <is>
          <t>◐</t>
        </is>
      </c>
      <c r="I16" s="21" t="inlineStr">
        <is>
          <t>◐</t>
        </is>
      </c>
      <c r="J16" s="21" t="inlineStr">
        <is>
          <t>◐</t>
        </is>
      </c>
      <c r="K16" s="21" t="inlineStr">
        <is>
          <t>◐</t>
        </is>
      </c>
      <c r="L16" s="21" t="inlineStr">
        <is>
          <t>◐</t>
        </is>
      </c>
      <c r="M16" s="21" t="inlineStr">
        <is>
          <t>◐</t>
        </is>
      </c>
      <c r="N16" s="21" t="inlineStr">
        <is>
          <t>◐</t>
        </is>
      </c>
      <c r="O16" s="21" t="inlineStr">
        <is>
          <t>◐</t>
        </is>
      </c>
      <c r="P16" s="17" t="inlineStr">
        <is>
          <t>△</t>
        </is>
      </c>
      <c r="Q16" s="17" t="inlineStr">
        <is>
          <t>△</t>
        </is>
      </c>
      <c r="R16" s="21" t="inlineStr">
        <is>
          <t>◐</t>
        </is>
      </c>
      <c r="S16" s="21" t="inlineStr">
        <is>
          <t>◐</t>
        </is>
      </c>
      <c r="T16" s="21" t="inlineStr">
        <is>
          <t>◐</t>
        </is>
      </c>
      <c r="U16" s="19" t="inlineStr">
        <is>
          <t>◇</t>
        </is>
      </c>
      <c r="V16" s="19" t="inlineStr">
        <is>
          <t>◇</t>
        </is>
      </c>
      <c r="W16" s="21" t="inlineStr">
        <is>
          <t>◐</t>
        </is>
      </c>
    </row>
    <row r="17" ht="23.15" customHeight="1" s="26">
      <c r="A17" s="14" t="inlineStr">
        <is>
          <t>CPI</t>
        </is>
      </c>
      <c r="B17" s="15" t="inlineStr">
        <is>
          <t>crash potential index</t>
        </is>
      </c>
      <c r="C17" s="15" t="inlineStr">
        <is>
          <t>纵向·减速度</t>
        </is>
      </c>
      <c r="D17" s="15" t="inlineStr">
        <is>
          <t>车辆最大可用减速度的分布</t>
        </is>
      </c>
      <c r="E17" s="21" t="inlineStr">
        <is>
          <t>◐</t>
        </is>
      </c>
      <c r="F17" s="21" t="inlineStr">
        <is>
          <t>◐</t>
        </is>
      </c>
      <c r="G17" s="21" t="inlineStr">
        <is>
          <t>◐</t>
        </is>
      </c>
      <c r="H17" s="21" t="inlineStr">
        <is>
          <t>◐</t>
        </is>
      </c>
      <c r="I17" s="21" t="inlineStr">
        <is>
          <t>◐</t>
        </is>
      </c>
      <c r="J17" s="21" t="inlineStr">
        <is>
          <t>◐</t>
        </is>
      </c>
      <c r="K17" s="21" t="inlineStr">
        <is>
          <t>◐</t>
        </is>
      </c>
      <c r="L17" s="21" t="inlineStr">
        <is>
          <t>◐</t>
        </is>
      </c>
      <c r="M17" s="17" t="inlineStr">
        <is>
          <t>△</t>
        </is>
      </c>
      <c r="N17" s="17" t="inlineStr">
        <is>
          <t>△</t>
        </is>
      </c>
      <c r="O17" s="17" t="inlineStr">
        <is>
          <t>△</t>
        </is>
      </c>
      <c r="P17" s="17" t="inlineStr">
        <is>
          <t>△</t>
        </is>
      </c>
      <c r="Q17" s="17" t="inlineStr">
        <is>
          <t>△</t>
        </is>
      </c>
      <c r="R17" s="21" t="inlineStr">
        <is>
          <t>◐</t>
        </is>
      </c>
      <c r="S17" s="17" t="inlineStr">
        <is>
          <t>△</t>
        </is>
      </c>
      <c r="T17" s="21" t="inlineStr">
        <is>
          <t>◐</t>
        </is>
      </c>
      <c r="U17" s="19" t="inlineStr">
        <is>
          <t>◇</t>
        </is>
      </c>
      <c r="V17" s="19" t="inlineStr">
        <is>
          <t>◇</t>
        </is>
      </c>
      <c r="W17" s="21" t="inlineStr">
        <is>
          <t>◐</t>
        </is>
      </c>
    </row>
    <row r="18" s="26">
      <c r="A18" s="14" t="inlineStr">
        <is>
          <t>RCRI</t>
        </is>
      </c>
      <c r="B18" s="15" t="inlineStr">
        <is>
          <t>rear-end collision risk index</t>
        </is>
      </c>
      <c r="C18" s="15" t="inlineStr">
        <is>
          <t>纵向·距离</t>
        </is>
      </c>
      <c r="D18" s="15" t="inlineStr">
        <is>
          <t>反应时间、减速度</t>
        </is>
      </c>
      <c r="E18" s="21" t="inlineStr">
        <is>
          <t>◐</t>
        </is>
      </c>
      <c r="F18" s="21" t="inlineStr">
        <is>
          <t>◐</t>
        </is>
      </c>
      <c r="G18" s="21" t="inlineStr">
        <is>
          <t>◐</t>
        </is>
      </c>
      <c r="H18" s="21" t="inlineStr">
        <is>
          <t>◐</t>
        </is>
      </c>
      <c r="I18" s="21" t="inlineStr">
        <is>
          <t>◐</t>
        </is>
      </c>
      <c r="J18" s="21" t="inlineStr">
        <is>
          <t>◐</t>
        </is>
      </c>
      <c r="K18" s="21" t="inlineStr">
        <is>
          <t>◐</t>
        </is>
      </c>
      <c r="L18" s="21" t="inlineStr">
        <is>
          <t>◐</t>
        </is>
      </c>
      <c r="M18" s="21" t="inlineStr">
        <is>
          <t>◐</t>
        </is>
      </c>
      <c r="N18" s="21" t="inlineStr">
        <is>
          <t>◐</t>
        </is>
      </c>
      <c r="O18" s="21" t="inlineStr">
        <is>
          <t>◐</t>
        </is>
      </c>
      <c r="P18" s="17" t="inlineStr">
        <is>
          <t>△</t>
        </is>
      </c>
      <c r="Q18" s="17" t="inlineStr">
        <is>
          <t>△</t>
        </is>
      </c>
      <c r="R18" s="21" t="inlineStr">
        <is>
          <t>◐</t>
        </is>
      </c>
      <c r="S18" s="21" t="inlineStr">
        <is>
          <t>◐</t>
        </is>
      </c>
      <c r="T18" s="21" t="inlineStr">
        <is>
          <t>◐</t>
        </is>
      </c>
      <c r="U18" s="19" t="inlineStr">
        <is>
          <t>◇</t>
        </is>
      </c>
      <c r="V18" s="19" t="inlineStr">
        <is>
          <t>◇</t>
        </is>
      </c>
      <c r="W18" s="21" t="inlineStr">
        <is>
          <t>◐</t>
        </is>
      </c>
    </row>
    <row r="19" s="26">
      <c r="A19" s="14" t="inlineStr">
        <is>
          <t>TTB</t>
        </is>
      </c>
      <c r="B19" s="15" t="inlineStr">
        <is>
          <t>time to brake</t>
        </is>
      </c>
      <c r="C19" s="15" t="inlineStr">
        <is>
          <t>纵向·避让</t>
        </is>
      </c>
      <c r="D19" s="15" t="inlineStr">
        <is>
          <t>最大减速度</t>
        </is>
      </c>
      <c r="E19" s="21" t="inlineStr">
        <is>
          <t>◐</t>
        </is>
      </c>
      <c r="F19" s="21" t="inlineStr">
        <is>
          <t>◐</t>
        </is>
      </c>
      <c r="G19" s="21" t="inlineStr">
        <is>
          <t>◐</t>
        </is>
      </c>
      <c r="H19" s="21" t="inlineStr">
        <is>
          <t>◐</t>
        </is>
      </c>
      <c r="I19" s="21" t="inlineStr">
        <is>
          <t>◐</t>
        </is>
      </c>
      <c r="J19" s="21" t="inlineStr">
        <is>
          <t>◐</t>
        </is>
      </c>
      <c r="K19" s="21" t="inlineStr">
        <is>
          <t>◐</t>
        </is>
      </c>
      <c r="L19" s="21" t="inlineStr">
        <is>
          <t>◐</t>
        </is>
      </c>
      <c r="M19" s="21" t="inlineStr">
        <is>
          <t>◐</t>
        </is>
      </c>
      <c r="N19" s="21" t="inlineStr">
        <is>
          <t>◐</t>
        </is>
      </c>
      <c r="O19" s="21" t="inlineStr">
        <is>
          <t>◐</t>
        </is>
      </c>
      <c r="P19" s="17" t="inlineStr">
        <is>
          <t>△</t>
        </is>
      </c>
      <c r="Q19" s="17" t="inlineStr">
        <is>
          <t>△</t>
        </is>
      </c>
      <c r="R19" s="21" t="inlineStr">
        <is>
          <t>◐</t>
        </is>
      </c>
      <c r="S19" s="21" t="inlineStr">
        <is>
          <t>◐</t>
        </is>
      </c>
      <c r="T19" s="21" t="inlineStr">
        <is>
          <t>◐</t>
        </is>
      </c>
      <c r="U19" s="19" t="inlineStr">
        <is>
          <t>◇</t>
        </is>
      </c>
      <c r="V19" s="19" t="inlineStr">
        <is>
          <t>◇</t>
        </is>
      </c>
      <c r="W19" s="21" t="inlineStr">
        <is>
          <t>◐</t>
        </is>
      </c>
    </row>
    <row r="20" s="26">
      <c r="A20" s="14" t="inlineStr">
        <is>
          <t>TTS</t>
        </is>
      </c>
      <c r="B20" s="15" t="inlineStr">
        <is>
          <t>time to steer</t>
        </is>
      </c>
      <c r="C20" s="15" t="inlineStr">
        <is>
          <t>二维·避让</t>
        </is>
      </c>
      <c r="D20" s="15" t="inlineStr">
        <is>
          <t>最大横向加速度</t>
        </is>
      </c>
      <c r="E20" s="21" t="inlineStr">
        <is>
          <t>◐</t>
        </is>
      </c>
      <c r="F20" s="17" t="inlineStr">
        <is>
          <t>△</t>
        </is>
      </c>
      <c r="G20" s="17" t="inlineStr">
        <is>
          <t>△</t>
        </is>
      </c>
      <c r="H20" s="21" t="inlineStr">
        <is>
          <t>◐</t>
        </is>
      </c>
      <c r="I20" s="21" t="inlineStr">
        <is>
          <t>◐</t>
        </is>
      </c>
      <c r="J20" s="21" t="inlineStr">
        <is>
          <t>◐</t>
        </is>
      </c>
      <c r="K20" s="21" t="inlineStr">
        <is>
          <t>◐</t>
        </is>
      </c>
      <c r="L20" s="17" t="inlineStr">
        <is>
          <t>△</t>
        </is>
      </c>
      <c r="M20" s="21" t="inlineStr">
        <is>
          <t>◐</t>
        </is>
      </c>
      <c r="N20" s="21" t="inlineStr">
        <is>
          <t>◐</t>
        </is>
      </c>
      <c r="O20" s="21" t="inlineStr">
        <is>
          <t>◐</t>
        </is>
      </c>
      <c r="P20" s="21" t="inlineStr">
        <is>
          <t>◐</t>
        </is>
      </c>
      <c r="Q20" s="21" t="inlineStr">
        <is>
          <t>◐</t>
        </is>
      </c>
      <c r="R20" s="21" t="inlineStr">
        <is>
          <t>◐</t>
        </is>
      </c>
      <c r="S20" s="21" t="inlineStr">
        <is>
          <t>◐</t>
        </is>
      </c>
      <c r="T20" s="21" t="inlineStr">
        <is>
          <t>◐</t>
        </is>
      </c>
      <c r="U20" s="19" t="inlineStr">
        <is>
          <t>◇</t>
        </is>
      </c>
      <c r="V20" s="19" t="inlineStr">
        <is>
          <t>◇</t>
        </is>
      </c>
      <c r="W20" s="20" t="inlineStr">
        <is>
          <t>✗</t>
        </is>
      </c>
    </row>
    <row r="21" s="26">
      <c r="A21" s="14" t="inlineStr">
        <is>
          <t>CI</t>
        </is>
      </c>
      <c r="B21" s="15" t="inlineStr">
        <is>
          <t>crash index (Ozbay et al. 2008)</t>
        </is>
      </c>
      <c r="C21" s="15" t="inlineStr">
        <is>
          <t>纵向·综合</t>
        </is>
      </c>
      <c r="D21" s="15" t="n"/>
      <c r="E21" s="17" t="inlineStr">
        <is>
          <t>△</t>
        </is>
      </c>
      <c r="F21" s="17" t="inlineStr">
        <is>
          <t>△</t>
        </is>
      </c>
      <c r="G21" s="16" t="inlineStr">
        <is>
          <t>✓</t>
        </is>
      </c>
      <c r="H21" s="16" t="inlineStr">
        <is>
          <t>✓</t>
        </is>
      </c>
      <c r="I21" s="16" t="inlineStr">
        <is>
          <t>✓</t>
        </is>
      </c>
      <c r="J21" s="16" t="inlineStr">
        <is>
          <t>✓</t>
        </is>
      </c>
      <c r="K21" s="17" t="inlineStr">
        <is>
          <t>△</t>
        </is>
      </c>
      <c r="L21" s="17" t="inlineStr">
        <is>
          <t>△</t>
        </is>
      </c>
      <c r="M21" s="17" t="inlineStr">
        <is>
          <t>△</t>
        </is>
      </c>
      <c r="N21" s="17" t="inlineStr">
        <is>
          <t>△</t>
        </is>
      </c>
      <c r="O21" s="48" t="inlineStr">
        <is>
          <t>✓</t>
        </is>
      </c>
      <c r="P21" s="17" t="inlineStr">
        <is>
          <t>△</t>
        </is>
      </c>
      <c r="Q21" s="17" t="inlineStr">
        <is>
          <t>△</t>
        </is>
      </c>
      <c r="R21" s="17" t="inlineStr">
        <is>
          <t>△</t>
        </is>
      </c>
      <c r="S21" s="17" t="inlineStr">
        <is>
          <t>△</t>
        </is>
      </c>
      <c r="T21" s="16" t="inlineStr">
        <is>
          <t>✓</t>
        </is>
      </c>
      <c r="U21" s="19" t="inlineStr">
        <is>
          <t>◇</t>
        </is>
      </c>
      <c r="V21" s="19" t="inlineStr">
        <is>
          <t>◇</t>
        </is>
      </c>
      <c r="W21" s="17" t="inlineStr">
        <is>
          <t>△</t>
        </is>
      </c>
    </row>
    <row r="22" s="26">
      <c r="A22" s="14" t="inlineStr">
        <is>
          <t>GT</t>
        </is>
      </c>
      <c r="B22" s="15" t="inlineStr">
        <is>
          <t>gap time</t>
        </is>
      </c>
      <c r="C22" s="15" t="inlineStr">
        <is>
          <t>交叉</t>
        </is>
      </c>
      <c r="D22" s="15" t="n"/>
      <c r="E22" s="16" t="inlineStr">
        <is>
          <t>✓</t>
        </is>
      </c>
      <c r="F22" s="16" t="inlineStr">
        <is>
          <t>✓</t>
        </is>
      </c>
      <c r="G22" s="17" t="inlineStr">
        <is>
          <t>△</t>
        </is>
      </c>
      <c r="H22" s="16" t="inlineStr">
        <is>
          <t>✓</t>
        </is>
      </c>
      <c r="I22" s="16" t="inlineStr">
        <is>
          <t>✓</t>
        </is>
      </c>
      <c r="J22" s="16" t="inlineStr">
        <is>
          <t>✓</t>
        </is>
      </c>
      <c r="K22" s="16" t="inlineStr">
        <is>
          <t>✓</t>
        </is>
      </c>
      <c r="L22" s="16" t="inlineStr">
        <is>
          <t>✓</t>
        </is>
      </c>
      <c r="M22" s="17" t="inlineStr">
        <is>
          <t>△</t>
        </is>
      </c>
      <c r="N22" s="17" t="inlineStr">
        <is>
          <t>△</t>
        </is>
      </c>
      <c r="O22" s="17" t="inlineStr">
        <is>
          <t>△</t>
        </is>
      </c>
      <c r="P22" s="17" t="inlineStr">
        <is>
          <t>△</t>
        </is>
      </c>
      <c r="Q22" s="17" t="inlineStr">
        <is>
          <t>△</t>
        </is>
      </c>
      <c r="R22" s="16" t="inlineStr">
        <is>
          <t>✓</t>
        </is>
      </c>
      <c r="S22" s="16" t="inlineStr">
        <is>
          <t>✓</t>
        </is>
      </c>
      <c r="T22" s="16" t="inlineStr">
        <is>
          <t>✓</t>
        </is>
      </c>
      <c r="U22" s="19" t="inlineStr">
        <is>
          <t>◇</t>
        </is>
      </c>
      <c r="V22" s="19" t="inlineStr">
        <is>
          <t>◇</t>
        </is>
      </c>
      <c r="W22" s="20" t="inlineStr">
        <is>
          <t>✗</t>
        </is>
      </c>
    </row>
    <row r="23" s="26">
      <c r="A23" s="14" t="inlineStr">
        <is>
          <t>ACT</t>
        </is>
      </c>
      <c r="B23" s="15" t="inlineStr">
        <is>
          <t>anticipated collision time</t>
        </is>
      </c>
      <c r="C23" s="15" t="inlineStr">
        <is>
          <t>二维</t>
        </is>
      </c>
      <c r="D23" s="15" t="n"/>
      <c r="E23" s="16" t="inlineStr">
        <is>
          <t>✓</t>
        </is>
      </c>
      <c r="F23" s="17" t="inlineStr">
        <is>
          <t>△</t>
        </is>
      </c>
      <c r="G23" s="17" t="inlineStr">
        <is>
          <t>△</t>
        </is>
      </c>
      <c r="H23" s="16" t="inlineStr">
        <is>
          <t>✓</t>
        </is>
      </c>
      <c r="I23" s="16" t="inlineStr">
        <is>
          <t>✓</t>
        </is>
      </c>
      <c r="J23" s="16" t="inlineStr">
        <is>
          <t>✓</t>
        </is>
      </c>
      <c r="K23" s="16" t="inlineStr">
        <is>
          <t>✓</t>
        </is>
      </c>
      <c r="L23" s="17" t="inlineStr">
        <is>
          <t>△</t>
        </is>
      </c>
      <c r="M23" s="16" t="inlineStr">
        <is>
          <t>✓</t>
        </is>
      </c>
      <c r="N23" s="16" t="inlineStr">
        <is>
          <t>✓</t>
        </is>
      </c>
      <c r="O23" s="16" t="inlineStr">
        <is>
          <t>✓</t>
        </is>
      </c>
      <c r="P23" s="16" t="inlineStr">
        <is>
          <t>✓</t>
        </is>
      </c>
      <c r="Q23" s="16" t="inlineStr">
        <is>
          <t>✓</t>
        </is>
      </c>
      <c r="R23" s="16" t="inlineStr">
        <is>
          <t>✓</t>
        </is>
      </c>
      <c r="S23" s="16" t="inlineStr">
        <is>
          <t>✓</t>
        </is>
      </c>
      <c r="T23" s="16" t="inlineStr">
        <is>
          <t>✓</t>
        </is>
      </c>
      <c r="U23" s="19" t="inlineStr">
        <is>
          <t>◇</t>
        </is>
      </c>
      <c r="V23" s="19" t="inlineStr">
        <is>
          <t>◇</t>
        </is>
      </c>
      <c r="W23" s="20" t="inlineStr">
        <is>
          <t>✗</t>
        </is>
      </c>
    </row>
    <row r="24" ht="23.15" customHeight="1" s="26">
      <c r="A24" s="14" t="inlineStr">
        <is>
          <t>delta-V</t>
        </is>
      </c>
      <c r="B24" s="15" t="inlineStr">
        <is>
          <t>change in velocity during a (potential) collision</t>
        </is>
      </c>
      <c r="C24" s="15" t="inlineStr">
        <is>
          <t>严重度</t>
        </is>
      </c>
      <c r="D24" s="15" t="inlineStr">
        <is>
          <t>车辆质量（按车型取典型值）</t>
        </is>
      </c>
      <c r="E24" s="17" t="inlineStr">
        <is>
          <t>△</t>
        </is>
      </c>
      <c r="F24" s="21" t="inlineStr">
        <is>
          <t>◐</t>
        </is>
      </c>
      <c r="G24" s="21" t="inlineStr">
        <is>
          <t>◐</t>
        </is>
      </c>
      <c r="H24" s="21" t="inlineStr">
        <is>
          <t>◐</t>
        </is>
      </c>
      <c r="I24" s="21" t="inlineStr">
        <is>
          <t>◐</t>
        </is>
      </c>
      <c r="J24" s="21" t="inlineStr">
        <is>
          <t>◐</t>
        </is>
      </c>
      <c r="K24" s="17" t="inlineStr">
        <is>
          <t>△</t>
        </is>
      </c>
      <c r="L24" s="21" t="inlineStr">
        <is>
          <t>◐</t>
        </is>
      </c>
      <c r="M24" s="21" t="inlineStr">
        <is>
          <t>◐</t>
        </is>
      </c>
      <c r="N24" s="21" t="inlineStr">
        <is>
          <t>◐</t>
        </is>
      </c>
      <c r="O24" s="17" t="inlineStr">
        <is>
          <t>△</t>
        </is>
      </c>
      <c r="P24" s="21" t="inlineStr">
        <is>
          <t>◐</t>
        </is>
      </c>
      <c r="Q24" s="21" t="inlineStr">
        <is>
          <t>◐</t>
        </is>
      </c>
      <c r="R24" s="17" t="inlineStr">
        <is>
          <t>△</t>
        </is>
      </c>
      <c r="S24" s="17" t="inlineStr">
        <is>
          <t>△</t>
        </is>
      </c>
      <c r="T24" s="21" t="inlineStr">
        <is>
          <t>◐</t>
        </is>
      </c>
      <c r="U24" s="19" t="inlineStr">
        <is>
          <t>◇</t>
        </is>
      </c>
      <c r="V24" s="19" t="inlineStr">
        <is>
          <t>◇</t>
        </is>
      </c>
      <c r="W24" s="17" t="inlineStr">
        <is>
          <t>△</t>
        </is>
      </c>
    </row>
    <row r="25" s="26"/>
    <row r="26" s="26">
      <c r="A26" s="27" t="inlineStr">
        <is>
          <t>✓ 直接算的指标数</t>
        </is>
      </c>
      <c r="B26" s="28" t="n"/>
      <c r="C26" s="28" t="n"/>
      <c r="D26" s="29" t="n"/>
      <c r="E26" s="22">
        <f>COUNTIF(E6:E24,"✓")</f>
        <v/>
      </c>
      <c r="F26" s="22">
        <f>COUNTIF(F6:F24,"✓")</f>
        <v/>
      </c>
      <c r="G26" s="22">
        <f>COUNTIF(G6:G24,"✓")</f>
        <v/>
      </c>
      <c r="H26" s="22">
        <f>COUNTIF(H6:H24,"✓")</f>
        <v/>
      </c>
      <c r="I26" s="22">
        <f>COUNTIF(I6:I24,"✓")</f>
        <v/>
      </c>
      <c r="J26" s="22">
        <f>COUNTIF(J6:J24,"✓")</f>
        <v/>
      </c>
      <c r="K26" s="22">
        <f>COUNTIF(K6:K24,"✓")</f>
        <v/>
      </c>
      <c r="L26" s="22">
        <f>COUNTIF(L6:L24,"✓")</f>
        <v/>
      </c>
      <c r="M26" s="22">
        <f>COUNTIF(M6:M24,"✓")</f>
        <v/>
      </c>
      <c r="N26" s="22">
        <f>COUNTIF(N6:N24,"✓")</f>
        <v/>
      </c>
      <c r="O26" s="22">
        <f>COUNTIF(O6:O24,"✓")</f>
        <v/>
      </c>
      <c r="P26" s="22">
        <f>COUNTIF(P6:P24,"✓")</f>
        <v/>
      </c>
      <c r="Q26" s="22">
        <f>COUNTIF(Q6:Q24,"✓")</f>
        <v/>
      </c>
      <c r="R26" s="22">
        <f>COUNTIF(R6:R24,"✓")</f>
        <v/>
      </c>
      <c r="S26" s="22">
        <f>COUNTIF(S6:S24,"✓")</f>
        <v/>
      </c>
      <c r="T26" s="22">
        <f>COUNTIF(T6:T24,"✓")</f>
        <v/>
      </c>
      <c r="U26" s="22">
        <f>COUNTIF(U6:U24,"✓")</f>
        <v/>
      </c>
      <c r="V26" s="22">
        <f>COUNTIF(V6:V24,"✓")</f>
        <v/>
      </c>
      <c r="W26" s="22">
        <f>COUNTIF(W6:W24,"✓")</f>
        <v/>
      </c>
    </row>
    <row r="27" s="26">
      <c r="A27" s="27" t="inlineStr">
        <is>
          <t>◐ 数据够、需自设参数的指标数</t>
        </is>
      </c>
      <c r="B27" s="28" t="n"/>
      <c r="C27" s="28" t="n"/>
      <c r="D27" s="29" t="n"/>
      <c r="E27" s="22">
        <f>COUNTIF(E6:E24,"◐")</f>
        <v/>
      </c>
      <c r="F27" s="22">
        <f>COUNTIF(F6:F24,"◐")</f>
        <v/>
      </c>
      <c r="G27" s="22">
        <f>COUNTIF(G6:G24,"◐")</f>
        <v/>
      </c>
      <c r="H27" s="22">
        <f>COUNTIF(H6:H24,"◐")</f>
        <v/>
      </c>
      <c r="I27" s="22">
        <f>COUNTIF(I6:I24,"◐")</f>
        <v/>
      </c>
      <c r="J27" s="22">
        <f>COUNTIF(J6:J24,"◐")</f>
        <v/>
      </c>
      <c r="K27" s="22">
        <f>COUNTIF(K6:K24,"◐")</f>
        <v/>
      </c>
      <c r="L27" s="22">
        <f>COUNTIF(L6:L24,"◐")</f>
        <v/>
      </c>
      <c r="M27" s="22">
        <f>COUNTIF(M6:M24,"◐")</f>
        <v/>
      </c>
      <c r="N27" s="22">
        <f>COUNTIF(N6:N24,"◐")</f>
        <v/>
      </c>
      <c r="O27" s="22">
        <f>COUNTIF(O6:O24,"◐")</f>
        <v/>
      </c>
      <c r="P27" s="22">
        <f>COUNTIF(P6:P24,"◐")</f>
        <v/>
      </c>
      <c r="Q27" s="22">
        <f>COUNTIF(Q6:Q24,"◐")</f>
        <v/>
      </c>
      <c r="R27" s="22">
        <f>COUNTIF(R6:R24,"◐")</f>
        <v/>
      </c>
      <c r="S27" s="22">
        <f>COUNTIF(S6:S24,"◐")</f>
        <v/>
      </c>
      <c r="T27" s="22">
        <f>COUNTIF(T6:T24,"◐")</f>
        <v/>
      </c>
      <c r="U27" s="22">
        <f>COUNTIF(U6:U24,"◐")</f>
        <v/>
      </c>
      <c r="V27" s="22">
        <f>COUNTIF(V6:V24,"◐")</f>
        <v/>
      </c>
      <c r="W27" s="22">
        <f>COUNTIF(W6:W24,"◐")</f>
        <v/>
      </c>
    </row>
    <row r="28" s="26">
      <c r="A28" s="27" t="inlineStr">
        <is>
          <t>△ 有条件的指标数</t>
        </is>
      </c>
      <c r="B28" s="28" t="n"/>
      <c r="C28" s="28" t="n"/>
      <c r="D28" s="29" t="n"/>
      <c r="E28" s="22">
        <f>COUNTIF(E6:E24,"△")</f>
        <v/>
      </c>
      <c r="F28" s="22">
        <f>COUNTIF(F6:F24,"△")</f>
        <v/>
      </c>
      <c r="G28" s="22">
        <f>COUNTIF(G6:G24,"△")</f>
        <v/>
      </c>
      <c r="H28" s="22">
        <f>COUNTIF(H6:H24,"△")</f>
        <v/>
      </c>
      <c r="I28" s="22">
        <f>COUNTIF(I6:I24,"△")</f>
        <v/>
      </c>
      <c r="J28" s="22">
        <f>COUNTIF(J6:J24,"△")</f>
        <v/>
      </c>
      <c r="K28" s="22">
        <f>COUNTIF(K6:K24,"△")</f>
        <v/>
      </c>
      <c r="L28" s="22">
        <f>COUNTIF(L6:L24,"△")</f>
        <v/>
      </c>
      <c r="M28" s="22">
        <f>COUNTIF(M6:M24,"△")</f>
        <v/>
      </c>
      <c r="N28" s="22">
        <f>COUNTIF(N6:N24,"△")</f>
        <v/>
      </c>
      <c r="O28" s="22">
        <f>COUNTIF(O6:O24,"△")</f>
        <v/>
      </c>
      <c r="P28" s="22">
        <f>COUNTIF(P6:P24,"△")</f>
        <v/>
      </c>
      <c r="Q28" s="22">
        <f>COUNTIF(Q6:Q24,"△")</f>
        <v/>
      </c>
      <c r="R28" s="22">
        <f>COUNTIF(R6:R24,"△")</f>
        <v/>
      </c>
      <c r="S28" s="22">
        <f>COUNTIF(S6:S24,"△")</f>
        <v/>
      </c>
      <c r="T28" s="22">
        <f>COUNTIF(T6:T24,"△")</f>
        <v/>
      </c>
      <c r="U28" s="22">
        <f>COUNTIF(U6:U24,"△")</f>
        <v/>
      </c>
      <c r="V28" s="22">
        <f>COUNTIF(V6:V24,"△")</f>
        <v/>
      </c>
      <c r="W28" s="22">
        <f>COUNTIF(W6:W24,"△")</f>
        <v/>
      </c>
    </row>
    <row r="29" s="26">
      <c r="A29" s="27" t="inlineStr">
        <is>
          <t>≈ / ◇ 需从画面近似或重建</t>
        </is>
      </c>
      <c r="B29" s="28" t="n"/>
      <c r="C29" s="28" t="n"/>
      <c r="D29" s="29" t="n"/>
      <c r="E29" s="22">
        <f>COUNTIF(E6:E24,"≈")+COUNTIF(E6:E24,"◇")</f>
        <v/>
      </c>
      <c r="F29" s="22">
        <f>COUNTIF(F6:F24,"≈")+COUNTIF(F6:F24,"◇")</f>
        <v/>
      </c>
      <c r="G29" s="22">
        <f>COUNTIF(G6:G24,"≈")+COUNTIF(G6:G24,"◇")</f>
        <v/>
      </c>
      <c r="H29" s="22">
        <f>COUNTIF(H6:H24,"≈")+COUNTIF(H6:H24,"◇")</f>
        <v/>
      </c>
      <c r="I29" s="22">
        <f>COUNTIF(I6:I24,"≈")+COUNTIF(I6:I24,"◇")</f>
        <v/>
      </c>
      <c r="J29" s="22">
        <f>COUNTIF(J6:J24,"≈")+COUNTIF(J6:J24,"◇")</f>
        <v/>
      </c>
      <c r="K29" s="22">
        <f>COUNTIF(K6:K24,"≈")+COUNTIF(K6:K24,"◇")</f>
        <v/>
      </c>
      <c r="L29" s="22">
        <f>COUNTIF(L6:L24,"≈")+COUNTIF(L6:L24,"◇")</f>
        <v/>
      </c>
      <c r="M29" s="22">
        <f>COUNTIF(M6:M24,"≈")+COUNTIF(M6:M24,"◇")</f>
        <v/>
      </c>
      <c r="N29" s="22">
        <f>COUNTIF(N6:N24,"≈")+COUNTIF(N6:N24,"◇")</f>
        <v/>
      </c>
      <c r="O29" s="22">
        <f>COUNTIF(O6:O24,"≈")+COUNTIF(O6:O24,"◇")</f>
        <v/>
      </c>
      <c r="P29" s="22">
        <f>COUNTIF(P6:P24,"≈")+COUNTIF(P6:P24,"◇")</f>
        <v/>
      </c>
      <c r="Q29" s="22">
        <f>COUNTIF(Q6:Q24,"≈")+COUNTIF(Q6:Q24,"◇")</f>
        <v/>
      </c>
      <c r="R29" s="22">
        <f>COUNTIF(R6:R24,"≈")+COUNTIF(R6:R24,"◇")</f>
        <v/>
      </c>
      <c r="S29" s="22">
        <f>COUNTIF(S6:S24,"≈")+COUNTIF(S6:S24,"◇")</f>
        <v/>
      </c>
      <c r="T29" s="22">
        <f>COUNTIF(T6:T24,"≈")+COUNTIF(T6:T24,"◇")</f>
        <v/>
      </c>
      <c r="U29" s="22">
        <f>COUNTIF(U6:U24,"≈")+COUNTIF(U6:U24,"◇")</f>
        <v/>
      </c>
      <c r="V29" s="22">
        <f>COUNTIF(V6:V24,"≈")+COUNTIF(V6:V24,"◇")</f>
        <v/>
      </c>
      <c r="W29" s="22">
        <f>COUNTIF(W6:W24,"≈")+COUNTIF(W6:W24,"◇")</f>
        <v/>
      </c>
    </row>
    <row r="30" s="26">
      <c r="A30" s="27" t="inlineStr">
        <is>
          <t>✗ 算不了的指标数</t>
        </is>
      </c>
      <c r="B30" s="28" t="n"/>
      <c r="C30" s="28" t="n"/>
      <c r="D30" s="29" t="n"/>
      <c r="E30" s="22">
        <f>COUNTIF(E6:E24,"✗")</f>
        <v/>
      </c>
      <c r="F30" s="22">
        <f>COUNTIF(F6:F24,"✗")</f>
        <v/>
      </c>
      <c r="G30" s="22">
        <f>COUNTIF(G6:G24,"✗")</f>
        <v/>
      </c>
      <c r="H30" s="22">
        <f>COUNTIF(H6:H24,"✗")</f>
        <v/>
      </c>
      <c r="I30" s="22">
        <f>COUNTIF(I6:I24,"✗")</f>
        <v/>
      </c>
      <c r="J30" s="22">
        <f>COUNTIF(J6:J24,"✗")</f>
        <v/>
      </c>
      <c r="K30" s="22">
        <f>COUNTIF(K6:K24,"✗")</f>
        <v/>
      </c>
      <c r="L30" s="22">
        <f>COUNTIF(L6:L24,"✗")</f>
        <v/>
      </c>
      <c r="M30" s="22">
        <f>COUNTIF(M6:M24,"✗")</f>
        <v/>
      </c>
      <c r="N30" s="22">
        <f>COUNTIF(N6:N24,"✗")</f>
        <v/>
      </c>
      <c r="O30" s="22">
        <f>COUNTIF(O6:O24,"✗")</f>
        <v/>
      </c>
      <c r="P30" s="22">
        <f>COUNTIF(P6:P24,"✗")</f>
        <v/>
      </c>
      <c r="Q30" s="22">
        <f>COUNTIF(Q6:Q24,"✗")</f>
        <v/>
      </c>
      <c r="R30" s="22">
        <f>COUNTIF(R6:R24,"✗")</f>
        <v/>
      </c>
      <c r="S30" s="22">
        <f>COUNTIF(S6:S24,"✗")</f>
        <v/>
      </c>
      <c r="T30" s="22">
        <f>COUNTIF(T6:T24,"✗")</f>
        <v/>
      </c>
      <c r="U30" s="22">
        <f>COUNTIF(U6:U24,"✗")</f>
        <v/>
      </c>
      <c r="V30" s="22">
        <f>COUNTIF(V6:V24,"✗")</f>
        <v/>
      </c>
      <c r="W30" s="22">
        <f>COUNTIF(W6:W24,"✗")</f>
        <v/>
      </c>
    </row>
    <row r="31" s="26"/>
    <row r="32" s="26"/>
    <row r="33" s="26"/>
    <row r="34" s="26"/>
  </sheetData>
  <mergeCells count="11">
    <mergeCell ref="A5:D5"/>
    <mergeCell ref="A27:D27"/>
    <mergeCell ref="A1:W1"/>
    <mergeCell ref="A4:D4"/>
    <mergeCell ref="A26:D26"/>
    <mergeCell ref="A30:D30"/>
    <mergeCell ref="M2:S2"/>
    <mergeCell ref="T2:W2"/>
    <mergeCell ref="E2:L2"/>
    <mergeCell ref="A29:D29"/>
    <mergeCell ref="A28:D28"/>
  </mergeCell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4.15"/>
  <cols>
    <col width="7" customWidth="1" style="26" min="1" max="1"/>
    <col width="26" customWidth="1" style="26" min="2" max="2"/>
    <col width="30" customWidth="1" style="26" min="3" max="3"/>
    <col width="40" customWidth="1" style="26" min="4" max="4"/>
    <col width="62" customWidth="1" style="26" min="5" max="5"/>
    <col width="20" customWidth="1" style="26" min="6" max="6"/>
  </cols>
  <sheetData>
    <row r="1" ht="260.6" customHeight="1" s="26">
      <c r="A1" s="11" t="inlineStr">
        <is>
          <t>△（有条件）一共七类条件（原来的 C2、C9 随 TA、CS 一起删掉了，其余编号不变）：是什么、影响哪些指标、怎么处理</t>
        </is>
      </c>
    </row>
    <row r="2">
      <c r="A2" s="12" t="inlineStr">
        <is>
          <t>编号</t>
        </is>
      </c>
      <c r="B2" s="12" t="inlineStr">
        <is>
          <t>条件</t>
        </is>
      </c>
      <c r="C2" s="12" t="inlineStr">
        <is>
          <t>影响的指标</t>
        </is>
      </c>
      <c r="D2" s="12" t="inlineStr">
        <is>
          <t>涉及的数据集</t>
        </is>
      </c>
      <c r="E2" s="12" t="inlineStr">
        <is>
          <t>怎么处理</t>
        </is>
      </c>
      <c r="F2" s="12" t="inlineStr">
        <is>
          <t>处理后</t>
        </is>
      </c>
    </row>
    <row r="3" ht="46.3" customHeight="1" s="26">
      <c r="A3" s="23" t="inlineStr">
        <is>
          <t>C1</t>
        </is>
      </c>
      <c r="B3" s="15" t="inlineStr">
        <is>
          <t>加速度要自己算，或者原始加速度噪声大</t>
        </is>
      </c>
      <c r="C3" s="15" t="inlineStr">
        <is>
          <t>MTTC、CI</t>
        </is>
      </c>
      <c r="D3" s="15" t="inlineStr">
        <is>
          <t>CitySim、INTERACTION、TGSIM（未核实）、NGSIM、nuScenes、Argoverse 2、KITTI、PandaSet、nuPlan、Waymo 运动预测（其他车）；100-Car（前车）</t>
        </is>
      </c>
      <c r="E3" s="15" t="inlineStr">
        <is>
          <t>先平滑位置或速度（如 Savitzky–Golay 滤波、卡尔曼平滑），再差分：a(t) ≈ [v(t+Δt) − v(t−Δt)] ÷ 2Δt；检查有没有不合理的大值。自车用 CAN/IMU/GPS 直接给的加速度。</t>
        </is>
      </c>
      <c r="F3" s="15" t="inlineStr">
        <is>
          <t>一般可变成 ✓</t>
        </is>
      </c>
    </row>
    <row r="4" ht="23.15" customHeight="1" s="26">
      <c r="A4" s="23" t="inlineStr">
        <is>
          <t>C3</t>
        </is>
      </c>
      <c r="B4" s="15" t="inlineStr">
        <is>
          <t>没有朝向，或外框只和车道平行</t>
        </is>
      </c>
      <c r="C4" s="15" t="inlineStr">
        <is>
          <t>2D-TTC、ACT、TTS、MPrISM</t>
        </is>
      </c>
      <c r="D4" s="15" t="inlineStr">
        <is>
          <t>NGSIM、highD、TGSIM（未核实）</t>
        </is>
      </c>
      <c r="E4" s="15" t="inlineStr">
        <is>
          <t>用平滑后的速度算朝向：θ = atan2(v_y, v_x)；车速很低时朝向不可靠，沿用前一刻的值。highD 的横向交互只有变道，二维指标能算但场景单一。</t>
        </is>
      </c>
      <c r="F4" s="15" t="inlineStr">
        <is>
          <t>一般可变成 ✓</t>
        </is>
      </c>
    </row>
    <row r="5" ht="23.15" customHeight="1" s="26">
      <c r="A5" s="23" t="inlineStr">
        <is>
          <t>C4</t>
        </is>
      </c>
      <c r="B5" s="15" t="inlineStr">
        <is>
          <t>冲突点少，或冲突不在片段内</t>
        </is>
      </c>
      <c r="C5" s="15" t="inlineStr">
        <is>
          <t>PET、GT</t>
        </is>
      </c>
      <c r="D5" s="15" t="inlineStr">
        <is>
          <t>highD（没有路口）、nuScenes、Argoverse 2、Waymo 感知、KITTI、PandaSet（每段只有 8–20 秒）</t>
        </is>
      </c>
      <c r="E5" s="15" t="inlineStr">
        <is>
          <t>变道和汇入时，把目标车道上的一段定义为冲突区；自车视角数据集只保留两车都在片段内经过冲突区的情况。</t>
        </is>
      </c>
      <c r="F5" s="15" t="inlineStr">
        <is>
          <t>数据本身的限制：能算，但样本少</t>
        </is>
      </c>
    </row>
    <row r="6" ht="23.15" customHeight="1" s="26">
      <c r="A6" s="23" t="inlineStr">
        <is>
          <t>C5</t>
        </is>
      </c>
      <c r="B6" s="15" t="inlineStr">
        <is>
          <t>片段短，"累计量"被截断</t>
        </is>
      </c>
      <c r="C6" s="15" t="inlineStr">
        <is>
          <t>CPI</t>
        </is>
      </c>
      <c r="D6" s="15" t="inlineStr">
        <is>
          <t>nuScenes、Argoverse 2、Waymo 感知、KITTI、PandaSet、Waymo 运动预测</t>
        </is>
      </c>
      <c r="E6" s="15" t="inlineStr">
        <is>
          <t>这三个指标是随时间累加的，片段越长数值越大。要除以观测时长（例如每小时、每辆车）再比较；不同数据集之间不要直接比原始值。</t>
        </is>
      </c>
      <c r="F6" s="15" t="inlineStr">
        <is>
          <t>换算后可用，但跨数据集比较要小心</t>
        </is>
      </c>
    </row>
    <row r="7" ht="46.3" customHeight="1" s="26">
      <c r="A7" s="23" t="inlineStr">
        <is>
          <t>C6</t>
        </is>
      </c>
      <c r="B7" s="15" t="inlineStr">
        <is>
          <t>没有车型，或车型分得太粗</t>
        </is>
      </c>
      <c r="C7" s="15" t="inlineStr">
        <is>
          <t>delta-V</t>
        </is>
      </c>
      <c r="D7" s="15" t="inlineStr">
        <is>
          <t>CitySim（无车型）、nuPlan（只有"车辆"一类）、Waymo 感知（只有车辆、行人、骑车人、标志四类）、INTERACTION 和 Waymo 运动预测（不分货车）、100-Car（前车车型未知）</t>
        </is>
      </c>
      <c r="E7" s="15" t="inlineStr">
        <is>
          <t>按车长估车型，再取该类车的典型质量（自己设定并在论文里写明）。只比较"相对严重程度"时影响不大。</t>
        </is>
      </c>
      <c r="F7" s="15" t="inlineStr">
        <is>
          <t>需要假设</t>
        </is>
      </c>
    </row>
    <row r="8" ht="46.3" customHeight="1" s="26">
      <c r="A8" s="23" t="inlineStr">
        <is>
          <t>C7</t>
        </is>
      </c>
      <c r="B8" s="15" t="inlineStr">
        <is>
          <t>没有地图，只能按几何位置判断"是不是同一车道的前车"</t>
        </is>
      </c>
      <c r="C8" s="15" t="inlineStr">
        <is>
          <t>所有纵向指标（TTC、RTTC、THW、DRAC、PSD、PICUD、DST、RCRI、TTB、MTTC、CI、CPI）</t>
        </is>
      </c>
      <c r="D8" s="15" t="inlineStr">
        <is>
          <t>KITTI、PandaSet</t>
        </is>
      </c>
      <c r="E8" s="15" t="inlineStr">
        <is>
          <t>把其他车转到自车坐标系：在自车前方，且横向偏移小于半个车道宽（约 1.75 米），就当作前车。直路上可靠，弯道和路口容易判断错。</t>
        </is>
      </c>
      <c r="F8" s="15" t="inlineStr">
        <is>
          <t>直路上可变成 ✓</t>
        </is>
      </c>
    </row>
    <row r="9" ht="46.3" customHeight="1" s="26">
      <c r="A9" s="23" t="inlineStr">
        <is>
          <t>C8</t>
        </is>
      </c>
      <c r="B9" s="15" t="inlineStr">
        <is>
          <t>标注频率低：涉及"什么时候"的指标要插值</t>
        </is>
      </c>
      <c r="C9" s="15" t="inlineStr">
        <is>
          <t>CPI、PET、GT（以及整个场景的最小 TTC）</t>
        </is>
      </c>
      <c r="D9" s="15" t="inlineStr">
        <is>
          <t>nuScenes（3D 框只有 2 Hz）</t>
        </is>
      </c>
      <c r="E9" s="15" t="inlineStr">
        <is>
          <t>瞬时指标（TTC、DRAC、PICUD、2D-TTC、ACT 等）在每个关键帧可直接算，速度用前后两帧的中心差分（官方 box_velocity 函数）。涉及时间的指标：把 3D 框或 TTC 序列插值到 12 Hz 再算；不插值时，场景最小 TTC 最多被高估约 0.25–0.5 秒。加速度相关的问题见 C1。</t>
        </is>
      </c>
      <c r="F9" s="15" t="inlineStr">
        <is>
          <t>插值后可用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15"/>
  <cols>
    <col width="20" customWidth="1" style="26" min="1" max="1"/>
    <col width="24" customWidth="1" style="26" min="2" max="2"/>
    <col width="20" customWidth="1" style="26" min="3" max="3"/>
    <col width="22" customWidth="1" style="26" min="4" max="4"/>
    <col width="24" customWidth="1" style="26" min="5" max="5"/>
    <col width="18" customWidth="1" style="26" min="6" max="6"/>
    <col width="28" customWidth="1" style="26" min="7" max="7"/>
    <col width="20" customWidth="1" style="26" min="8" max="8"/>
    <col width="22" customWidth="1" style="26" min="9" max="9"/>
    <col width="10" customWidth="1" style="26" min="10" max="10"/>
    <col width="14" customWidth="1" style="26" min="11" max="11"/>
    <col width="22" customWidth="1" style="26" min="12" max="12"/>
    <col width="30" customWidth="1" style="26" min="13" max="13"/>
  </cols>
  <sheetData>
    <row r="1" ht="48.9" customHeight="1" s="26">
      <c r="A1" s="11" t="inlineStr">
        <is>
          <t>有自车图像的数据集对比（2026-10-08）</t>
        </is>
      </c>
    </row>
    <row r="2" ht="24.9" customHeight="1" s="26">
      <c r="A2" s="12" t="inlineStr">
        <is>
          <t>数据集</t>
        </is>
      </c>
      <c r="B2" s="12" t="inlineStr">
        <is>
          <t>自车相机</t>
        </is>
      </c>
      <c r="C2" s="12" t="inlineStr">
        <is>
          <t>3D 标注（谁标、频率）</t>
        </is>
      </c>
      <c r="D2" s="12" t="inlineStr">
        <is>
          <t>物体类别</t>
        </is>
      </c>
      <c r="E2" s="12" t="inlineStr">
        <is>
          <t>自车数据</t>
        </is>
      </c>
      <c r="F2" s="12" t="inlineStr">
        <is>
          <t>地图 / 信号灯</t>
        </is>
      </c>
      <c r="G2" s="12" t="inlineStr">
        <is>
          <t>有标注 + 图像的量</t>
        </is>
      </c>
      <c r="H2" s="12" t="inlineStr">
        <is>
          <t>地点</t>
        </is>
      </c>
      <c r="I2" s="12" t="inlineStr">
        <is>
          <t>危险场景</t>
        </is>
      </c>
      <c r="J2" s="12" t="inlineStr">
        <is>
          <t>直接算（✓）</t>
        </is>
      </c>
      <c r="K2" s="12" t="inlineStr">
        <is>
          <t>数据够、需自设参数（◐）</t>
        </is>
      </c>
      <c r="L2" s="12" t="inlineStr">
        <is>
          <t>获取 / 许可 / 大小</t>
        </is>
      </c>
      <c r="M2" s="12" t="inlineStr">
        <is>
          <t>最适合</t>
        </is>
      </c>
    </row>
    <row r="3" ht="23.15" customHeight="1" s="26">
      <c r="A3" s="14" t="inlineStr">
        <is>
          <t>nuPlan（传感器部分）</t>
        </is>
      </c>
      <c r="B3" s="15" t="inlineStr">
        <is>
          <t>8 个（1920×1080）</t>
        </is>
      </c>
      <c r="C3" s="15" t="inlineStr">
        <is>
          <t>模型自动标注，20 Hz</t>
        </is>
      </c>
      <c r="D3" s="15" t="inlineStr">
        <is>
          <t>7 类；车辆不分车型</t>
        </is>
      </c>
      <c r="E3" s="15" t="inlineStr">
        <is>
          <t>20 Hz 位姿 + IMU</t>
        </is>
      </c>
      <c r="F3" s="15" t="inlineStr">
        <is>
          <t>高精地图 + 信号灯状态</t>
        </is>
      </c>
      <c r="G3" s="15" t="inlineStr">
        <is>
          <t>约 128 小时（约 10% 的记录有传感器数据）</t>
        </is>
      </c>
      <c r="H3" s="15" t="inlineStr">
        <is>
          <t>拉斯维加斯、波士顿、匹兹堡、新加坡</t>
        </is>
      </c>
      <c r="I3" s="15" t="inlineStr">
        <is>
          <t>少，但总量大，有 75 类场景标签可筛</t>
        </is>
      </c>
      <c r="J3" s="23">
        <f>COUNTIF(指标×数据集!R6:R24,"✓")</f>
        <v/>
      </c>
      <c r="K3" s="23">
        <f>COUNTIF(指标×数据集!R6:R24,"◐")</f>
        <v/>
      </c>
      <c r="L3" s="15" t="inlineStr">
        <is>
          <t>注册；全部传感器数据超过 20 TB</t>
        </is>
      </c>
      <c r="M3" s="15" t="inlineStr">
        <is>
          <t>正式研究的主数据集</t>
        </is>
      </c>
    </row>
    <row r="4" ht="23.15" customHeight="1" s="26">
      <c r="A4" s="14" t="inlineStr">
        <is>
          <t>Argoverse 2 传感器</t>
        </is>
      </c>
      <c r="B4" s="15" t="inlineStr">
        <is>
          <t>9 个（7 环视 + 2 双目，2048×1550，20 Hz）</t>
        </is>
      </c>
      <c r="C4" s="15" t="inlineStr">
        <is>
          <t>人工，10 Hz</t>
        </is>
      </c>
      <c r="D4" s="15" t="inlineStr">
        <is>
          <t>30 类（含货车、公交、拖车）</t>
        </is>
      </c>
      <c r="E4" s="15" t="inlineStr">
        <is>
          <t>6 自由度位姿</t>
        </is>
      </c>
      <c r="F4" s="15" t="inlineStr">
        <is>
          <t>每段一张本地地图</t>
        </is>
      </c>
      <c r="G4" s="15" t="inlineStr">
        <is>
          <t>4.2 小时（1,000 段 × 约 15 秒）</t>
        </is>
      </c>
      <c r="H4" s="15" t="inlineStr">
        <is>
          <t>美国 6 个城市</t>
        </is>
      </c>
      <c r="I4" s="15" t="inlineStr">
        <is>
          <t>少</t>
        </is>
      </c>
      <c r="J4" s="23">
        <f>COUNTIF(指标×数据集!N6:N24,"✓")</f>
        <v/>
      </c>
      <c r="K4" s="23">
        <f>COUNTIF(指标×数据集!N6:N24,"◐")</f>
        <v/>
      </c>
      <c r="L4" s="15" t="inlineStr">
        <is>
          <t>CC BY-NC-SA 4.0；约 1 TB</t>
        </is>
      </c>
      <c r="M4" s="15" t="inlineStr">
        <is>
          <t>人工标注、频率高、车型全：算得最准，适合做精度对照</t>
        </is>
      </c>
    </row>
    <row r="5" ht="23.15" customHeight="1" s="26">
      <c r="A5" s="14" t="inlineStr">
        <is>
          <t>Waymo 感知</t>
        </is>
      </c>
      <c r="B5" s="15" t="inlineStr">
        <is>
          <t>5 个（前方和两侧）</t>
        </is>
      </c>
      <c r="C5" s="15" t="inlineStr">
        <is>
          <t>人工，10 Hz</t>
        </is>
      </c>
      <c r="D5" s="15" t="inlineStr">
        <is>
          <t>4 类（车辆、行人、骑车人、标志）</t>
        </is>
      </c>
      <c r="E5" s="15" t="inlineStr">
        <is>
          <t>位姿 + 自车速度；每个物体自带速度、加速度（全局坐标系）</t>
        </is>
      </c>
      <c r="F5" s="15" t="inlineStr">
        <is>
          <t>v1.4.3 带地图（车道、路缘、人行横道、停车标志等）；v2.0.1 不带</t>
        </is>
      </c>
      <c r="G5" s="15" t="inlineStr">
        <is>
          <t>约 11 小时（2,030 段 × 20 秒）</t>
        </is>
      </c>
      <c r="H5" s="15" t="inlineStr">
        <is>
          <t>美国多个城市</t>
        </is>
      </c>
      <c r="I5" s="15" t="inlineStr">
        <is>
          <t>少</t>
        </is>
      </c>
      <c r="J5" s="23">
        <f>COUNTIF(指标×数据集!O6:O24,"✓")</f>
        <v/>
      </c>
      <c r="K5" s="23">
        <f>COUNTIF(指标×数据集!O6:O24,"◐")</f>
        <v/>
      </c>
      <c r="L5" s="15" t="inlineStr">
        <is>
          <t>注册，限非商业</t>
        </is>
      </c>
      <c r="M5" s="15" t="inlineStr">
        <is>
          <t>人工标注里规模较大的，但不分车型</t>
        </is>
      </c>
    </row>
    <row r="6" ht="23.15" customHeight="1" s="26">
      <c r="A6" s="14" t="inlineStr">
        <is>
          <t>nuScenes</t>
        </is>
      </c>
      <c r="B6" s="15" t="inlineStr">
        <is>
          <t>6 个（1600×900，约 12 Hz）</t>
        </is>
      </c>
      <c r="C6" s="15" t="inlineStr">
        <is>
          <t>人工，2 Hz</t>
        </is>
      </c>
      <c r="D6" s="15" t="inlineStr">
        <is>
          <t>23 类（含货车、公交、拖车、工程车）</t>
        </is>
      </c>
      <c r="E6" s="15" t="inlineStr">
        <is>
          <t>CAN 总线：IMU 100 Hz、刹车传感器约 800–970 Hz</t>
        </is>
      </c>
      <c r="F6" s="15" t="inlineStr">
        <is>
          <t>地图扩展包</t>
        </is>
      </c>
      <c r="G6" s="15" t="inlineStr">
        <is>
          <t>约 5.6 小时（1,000 段 × 20 秒，测试集 150 段标注不公开）</t>
        </is>
      </c>
      <c r="H6" s="15" t="inlineStr">
        <is>
          <t>波士顿、新加坡</t>
        </is>
      </c>
      <c r="I6" s="15" t="inlineStr">
        <is>
          <t>少</t>
        </is>
      </c>
      <c r="J6" s="23">
        <f>COUNTIF(指标×数据集!M6:M24,"✓")</f>
        <v/>
      </c>
      <c r="K6" s="23">
        <f>COUNTIF(指标×数据集!M6:M24,"◐")</f>
        <v/>
      </c>
      <c r="L6" s="15" t="inlineStr">
        <is>
          <t>注册，限非商业</t>
        </is>
      </c>
      <c r="M6" s="15" t="inlineStr">
        <is>
          <t>先跑通流程；CV 方向；自车刹车信号最全</t>
        </is>
      </c>
    </row>
    <row r="7" ht="23.15" customHeight="1" s="26">
      <c r="A7" s="14" t="inlineStr">
        <is>
          <t>KITTI 跟踪</t>
        </is>
      </c>
      <c r="B7" s="15" t="inlineStr">
        <is>
          <t>前向双目（彩色 + 灰度，10 Hz）</t>
        </is>
      </c>
      <c r="C7" s="15" t="inlineStr">
        <is>
          <t>人工，10 Hz，只标相机视野内</t>
        </is>
      </c>
      <c r="D7" s="15" t="inlineStr">
        <is>
          <t>8 类（含 Van、Truck、Tram）</t>
        </is>
      </c>
      <c r="E7" s="15" t="inlineStr">
        <is>
          <t>GPS/IMU</t>
        </is>
      </c>
      <c r="F7" s="15" t="inlineStr">
        <is>
          <t>无</t>
        </is>
      </c>
      <c r="G7" s="15" t="inlineStr">
        <is>
          <t>约 8,000 帧训练数据（约 13 分钟）</t>
        </is>
      </c>
      <c r="H7" s="15" t="inlineStr">
        <is>
          <t>德国卡尔斯鲁厄（2011）</t>
        </is>
      </c>
      <c r="I7" s="15" t="inlineStr">
        <is>
          <t>少</t>
        </is>
      </c>
      <c r="J7" s="23">
        <f>COUNTIF(指标×数据集!P6:P24,"✓")</f>
        <v/>
      </c>
      <c r="K7" s="23">
        <f>COUNTIF(指标×数据集!P6:P24,"◐")</f>
        <v/>
      </c>
      <c r="L7" s="15" t="inlineStr">
        <is>
          <t>CC BY-NC-SA 3.0；小</t>
        </is>
      </c>
      <c r="M7" s="15" t="inlineStr">
        <is>
          <t>入门</t>
        </is>
      </c>
    </row>
    <row r="8">
      <c r="A8" s="14" t="inlineStr">
        <is>
          <t>PandaSet</t>
        </is>
      </c>
      <c r="B8" s="15" t="inlineStr">
        <is>
          <t>6 个（1920×1080，10 Hz）</t>
        </is>
      </c>
      <c r="C8" s="15" t="inlineStr">
        <is>
          <t>人工，10 Hz</t>
        </is>
      </c>
      <c r="D8" s="15" t="inlineStr">
        <is>
          <t>28 类</t>
        </is>
      </c>
      <c r="E8" s="15" t="inlineStr">
        <is>
          <t>位姿</t>
        </is>
      </c>
      <c r="F8" s="15" t="inlineStr">
        <is>
          <t>无</t>
        </is>
      </c>
      <c r="G8" s="15" t="inlineStr">
        <is>
          <t>约 14 分钟（103 段 × 8 秒）</t>
        </is>
      </c>
      <c r="H8" s="15" t="inlineStr">
        <is>
          <t>旧金山一带</t>
        </is>
      </c>
      <c r="I8" s="15" t="inlineStr">
        <is>
          <t>少</t>
        </is>
      </c>
      <c r="J8" s="23">
        <f>COUNTIF(指标×数据集!Q6:Q24,"✓")</f>
        <v/>
      </c>
      <c r="K8" s="23">
        <f>COUNTIF(指标×数据集!Q6:Q24,"◐")</f>
        <v/>
      </c>
      <c r="L8" s="15" t="inlineStr">
        <is>
          <t>研究和商用都免费</t>
        </is>
      </c>
      <c r="M8" s="15" t="inlineStr">
        <is>
          <t>需要商用许可时</t>
        </is>
      </c>
    </row>
    <row r="9" ht="23.15" customHeight="1" s="26">
      <c r="A9" s="14" t="inlineStr">
        <is>
          <t>Waymo WOD-E2E</t>
        </is>
      </c>
      <c r="B9" s="15" t="inlineStr">
        <is>
          <t>8 个（360°）</t>
        </is>
      </c>
      <c r="C9" s="15" t="inlineStr">
        <is>
          <t>摘要未提周围物体标注</t>
        </is>
      </c>
      <c r="D9" s="15" t="inlineStr">
        <is>
          <t>—</t>
        </is>
      </c>
      <c r="E9" s="15" t="inlineStr">
        <is>
          <t>自车状态 + 路线</t>
        </is>
      </c>
      <c r="F9" s="15" t="inlineStr">
        <is>
          <t>未提</t>
        </is>
      </c>
      <c r="G9" s="15" t="inlineStr">
        <is>
          <t>约 12 小时（4,021 段）</t>
        </is>
      </c>
      <c r="H9" s="15" t="inlineStr">
        <is>
          <t>美国</t>
        </is>
      </c>
      <c r="I9" s="15" t="inlineStr">
        <is>
          <t>多（罕见困难场景）</t>
        </is>
      </c>
      <c r="J9" s="23">
        <f>COUNTIF(指标×数据集!U6:U24,"✓")</f>
        <v/>
      </c>
      <c r="K9" s="23">
        <f>COUNTIF(指标×数据集!U6:U24,"◐")</f>
        <v/>
      </c>
      <c r="L9" s="15" t="inlineStr">
        <is>
          <t>注册，限非商业</t>
        </is>
      </c>
      <c r="M9" s="15" t="inlineStr">
        <is>
          <t>只有自车画面的困难场景；指标要自己从画面重建</t>
        </is>
      </c>
    </row>
    <row r="10">
      <c r="A10" s="14" t="inlineStr">
        <is>
          <t>DeepAccident（仿真）</t>
        </is>
      </c>
      <c r="B10" s="15" t="inlineStr">
        <is>
          <t>多车视角 + 路侧（仿真画面）</t>
        </is>
      </c>
      <c r="C10" s="15" t="inlineStr">
        <is>
          <t>仿真真值</t>
        </is>
      </c>
      <c r="D10" s="15" t="inlineStr">
        <is>
          <t>未核实</t>
        </is>
      </c>
      <c r="E10" s="15" t="inlineStr">
        <is>
          <t>仿真</t>
        </is>
      </c>
      <c r="F10" s="15" t="inlineStr">
        <is>
          <t>仿真地图</t>
        </is>
      </c>
      <c r="G10" s="15" t="inlineStr">
        <is>
          <t>约 5.7 万帧</t>
        </is>
      </c>
      <c r="H10" s="15" t="inlineStr">
        <is>
          <t>仿真城市</t>
        </is>
      </c>
      <c r="I10" s="15" t="inlineStr">
        <is>
          <t>多（有真实发生的碰撞）</t>
        </is>
      </c>
      <c r="J10" s="23">
        <f>COUNTIF(指标×数据集!T6:T24,"✓")</f>
        <v/>
      </c>
      <c r="K10" s="23">
        <f>COUNTIF(指标×数据集!T6:T24,"◐")</f>
        <v/>
      </c>
      <c r="L10" s="15" t="inlineStr">
        <is>
          <t>公开</t>
        </is>
      </c>
      <c r="M10" s="15" t="inlineStr">
        <is>
          <t>检验指标能不能提前认出碰撞</t>
        </is>
      </c>
    </row>
    <row r="11" ht="34.75" customHeight="1" s="26">
      <c r="A11" s="14" t="inlineStr">
        <is>
          <t>Nexar / DoTA / CCD</t>
        </is>
      </c>
      <c r="B11" s="15" t="inlineStr">
        <is>
          <t>单个行车记录仪</t>
        </is>
      </c>
      <c r="C11" s="15" t="inlineStr">
        <is>
          <t>无 3D 标注（DoTA 有 2D 跟踪框）</t>
        </is>
      </c>
      <c r="D11" s="15" t="inlineStr">
        <is>
          <t>—</t>
        </is>
      </c>
      <c r="E11" s="15" t="inlineStr">
        <is>
          <t>无</t>
        </is>
      </c>
      <c r="F11" s="15" t="inlineStr">
        <is>
          <t>无</t>
        </is>
      </c>
      <c r="G11" s="15" t="inlineStr">
        <is>
          <t>Nexar 1,500 段 × 约 40 秒；DoTA 4,677 段；CCD 1,500 段事故 + 3,000 段正常</t>
        </is>
      </c>
      <c r="H11" s="15" t="inlineStr">
        <is>
          <t>各地</t>
        </is>
      </c>
      <c r="I11" s="15" t="inlineStr">
        <is>
          <t>多（真实碰撞和险情）</t>
        </is>
      </c>
      <c r="J11" s="23">
        <f>COUNTIF(指标×数据集!V6:V24,"✓")</f>
        <v/>
      </c>
      <c r="K11" s="23">
        <f>COUNTIF(指标×数据集!V6:V24,"◐")</f>
        <v/>
      </c>
      <c r="L11" s="15" t="inlineStr">
        <is>
          <t>公开</t>
        </is>
      </c>
      <c r="M11" s="15" t="inlineStr">
        <is>
          <t>只能用画面估 TTC；主要用来做验证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4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4.15"/>
  <cols>
    <col width="22" customWidth="1" style="26" min="1" max="1"/>
    <col width="13" customWidth="1" style="26" min="2" max="2"/>
    <col width="6" customWidth="1" style="26" min="3" max="3"/>
    <col width="11" customWidth="1" style="26" min="4" max="4"/>
    <col width="95" customWidth="1" style="26" min="5" max="5"/>
  </cols>
  <sheetData>
    <row r="1" ht="65.15000000000001" customHeight="1" s="26">
      <c r="A1" s="11" t="inlineStr">
        <is>
          <t>所有不是 ✓ 的格子：原因（条件编号的含义见"△条件汇总"表）</t>
        </is>
      </c>
    </row>
    <row r="2">
      <c r="A2" s="12" t="inlineStr">
        <is>
          <t>数据集</t>
        </is>
      </c>
      <c r="B2" s="12" t="inlineStr">
        <is>
          <t>指标</t>
        </is>
      </c>
      <c r="C2" s="12" t="inlineStr">
        <is>
          <t>符号</t>
        </is>
      </c>
      <c r="D2" s="12" t="inlineStr">
        <is>
          <t>条件编号</t>
        </is>
      </c>
      <c r="E2" s="12" t="inlineStr">
        <is>
          <t>原因</t>
        </is>
      </c>
    </row>
    <row r="3">
      <c r="A3" s="3" t="inlineStr">
        <is>
          <t>KITTI 跟踪</t>
        </is>
      </c>
      <c r="B3" s="3" t="inlineStr">
        <is>
          <t>TTC</t>
        </is>
      </c>
      <c r="C3" s="5" t="inlineStr">
        <is>
          <t>△</t>
        </is>
      </c>
      <c r="D3" s="24" t="inlineStr">
        <is>
          <t>C7</t>
        </is>
      </c>
      <c r="E3" s="3" t="inlineStr">
        <is>
          <t>[C7] 前后车配对：没有高精地图，只能按几何位置判断是否同车道</t>
        </is>
      </c>
    </row>
    <row r="4">
      <c r="A4" s="3" t="inlineStr">
        <is>
          <t>PandaSet</t>
        </is>
      </c>
      <c r="B4" s="3" t="inlineStr">
        <is>
          <t>TTC</t>
        </is>
      </c>
      <c r="C4" s="5" t="inlineStr">
        <is>
          <t>△</t>
        </is>
      </c>
      <c r="D4" s="24" t="inlineStr">
        <is>
          <t>C7</t>
        </is>
      </c>
      <c r="E4" s="3" t="inlineStr">
        <is>
          <t>[C7] 前后车配对：没有高精地图，只能按几何位置判断是否同车道</t>
        </is>
      </c>
    </row>
    <row r="5">
      <c r="A5" s="3" t="inlineStr">
        <is>
          <t>Waymo WOD-E2E</t>
        </is>
      </c>
      <c r="B5" s="3" t="inlineStr">
        <is>
          <t>TTC</t>
        </is>
      </c>
      <c r="C5" s="6" t="inlineStr">
        <is>
          <t>≈</t>
        </is>
      </c>
      <c r="D5" s="24" t="inlineStr">
        <is>
          <t>画面近似</t>
        </is>
      </c>
      <c r="E5" s="3" t="inlineStr">
        <is>
          <t>可由目标在画面中变大的速度近似（不需要真实距离）</t>
        </is>
      </c>
    </row>
    <row r="6">
      <c r="A6" s="3" t="inlineStr">
        <is>
          <t>Nexar / DoTA / CCD</t>
        </is>
      </c>
      <c r="B6" s="3" t="inlineStr">
        <is>
          <t>TTC</t>
        </is>
      </c>
      <c r="C6" s="6" t="inlineStr">
        <is>
          <t>≈</t>
        </is>
      </c>
      <c r="D6" s="24" t="inlineStr">
        <is>
          <t>画面近似</t>
        </is>
      </c>
      <c r="E6" s="3" t="inlineStr">
        <is>
          <t>可由目标在画面中变大的速度近似（不需要真实距离）</t>
        </is>
      </c>
    </row>
    <row r="7">
      <c r="A7" s="3" t="inlineStr">
        <is>
          <t>highD</t>
        </is>
      </c>
      <c r="B7" s="3" t="inlineStr">
        <is>
          <t>PET</t>
        </is>
      </c>
      <c r="C7" s="5" t="inlineStr">
        <is>
          <t>△</t>
        </is>
      </c>
      <c r="D7" s="24" t="inlineStr">
        <is>
          <t>C4</t>
        </is>
      </c>
      <c r="E7" s="3" t="inlineStr">
        <is>
          <t>[C4] 交叉冲突：没有路口，只有变道和汇入</t>
        </is>
      </c>
    </row>
    <row r="8">
      <c r="A8" s="3" t="inlineStr">
        <is>
          <t>nuScenes</t>
        </is>
      </c>
      <c r="B8" s="3" t="inlineStr">
        <is>
          <t>PET</t>
        </is>
      </c>
      <c r="C8" s="5" t="inlineStr">
        <is>
          <t>△</t>
        </is>
      </c>
      <c r="D8" s="24" t="inlineStr">
        <is>
          <t>C8</t>
        </is>
      </c>
      <c r="E8" s="3" t="inlineStr">
        <is>
          <t>[C8] 交叉冲突：经过冲突区的时刻只精确到 0.5 秒，需插值；每段只有 20 秒，两车都要在段内经过冲突点</t>
        </is>
      </c>
    </row>
    <row r="9">
      <c r="A9" s="3" t="inlineStr">
        <is>
          <t>Argoverse 2 传感器</t>
        </is>
      </c>
      <c r="B9" s="3" t="inlineStr">
        <is>
          <t>PET</t>
        </is>
      </c>
      <c r="C9" s="5" t="inlineStr">
        <is>
          <t>△</t>
        </is>
      </c>
      <c r="D9" s="24" t="inlineStr">
        <is>
          <t>C4</t>
        </is>
      </c>
      <c r="E9" s="3" t="inlineStr">
        <is>
          <t>[C4] 交叉冲突：每段较短，冲突点要在段内</t>
        </is>
      </c>
    </row>
    <row r="10">
      <c r="A10" s="3" t="inlineStr">
        <is>
          <t>Waymo 感知</t>
        </is>
      </c>
      <c r="B10" s="3" t="inlineStr">
        <is>
          <t>PET</t>
        </is>
      </c>
      <c r="C10" s="5" t="inlineStr">
        <is>
          <t>△</t>
        </is>
      </c>
      <c r="D10" s="24" t="inlineStr">
        <is>
          <t>C4</t>
        </is>
      </c>
      <c r="E10" s="3" t="inlineStr">
        <is>
          <t>[C4] 交叉冲突：每段 20 秒，冲突点要在段内</t>
        </is>
      </c>
    </row>
    <row r="11">
      <c r="A11" s="3" t="inlineStr">
        <is>
          <t>KITTI 跟踪</t>
        </is>
      </c>
      <c r="B11" s="3" t="inlineStr">
        <is>
          <t>PET</t>
        </is>
      </c>
      <c r="C11" s="5" t="inlineStr">
        <is>
          <t>△</t>
        </is>
      </c>
      <c r="D11" s="24" t="inlineStr">
        <is>
          <t>C4</t>
        </is>
      </c>
      <c r="E11" s="3" t="inlineStr">
        <is>
          <t>[C4] 交叉冲突：序列短、路口少</t>
        </is>
      </c>
    </row>
    <row r="12">
      <c r="A12" s="3" t="inlineStr">
        <is>
          <t>PandaSet</t>
        </is>
      </c>
      <c r="B12" s="3" t="inlineStr">
        <is>
          <t>PET</t>
        </is>
      </c>
      <c r="C12" s="5" t="inlineStr">
        <is>
          <t>△</t>
        </is>
      </c>
      <c r="D12" s="24" t="inlineStr">
        <is>
          <t>C4</t>
        </is>
      </c>
      <c r="E12" s="3" t="inlineStr">
        <is>
          <t>[C4] 交叉冲突：每段只有 8 秒</t>
        </is>
      </c>
    </row>
    <row r="13">
      <c r="A13" s="3" t="inlineStr">
        <is>
          <t>Waymo WOD-E2E</t>
        </is>
      </c>
      <c r="B13" s="3" t="inlineStr">
        <is>
          <t>PET</t>
        </is>
      </c>
      <c r="C13" s="7" t="inlineStr">
        <is>
          <t>◇</t>
        </is>
      </c>
      <c r="D13" s="24" t="inlineStr">
        <is>
          <t>需 CV 重建</t>
        </is>
      </c>
      <c r="E13" s="3" t="inlineStr">
        <is>
          <t>数据里没有周围物体的 3D 轨迹，需先用 CV（3D 检测/单目深度）从画面重建，误差大</t>
        </is>
      </c>
    </row>
    <row r="14">
      <c r="A14" s="3" t="inlineStr">
        <is>
          <t>Nexar / DoTA / CCD</t>
        </is>
      </c>
      <c r="B14" s="3" t="inlineStr">
        <is>
          <t>PET</t>
        </is>
      </c>
      <c r="C14" s="7" t="inlineStr">
        <is>
          <t>◇</t>
        </is>
      </c>
      <c r="D14" s="24" t="inlineStr">
        <is>
          <t>需 CV 重建</t>
        </is>
      </c>
      <c r="E14" s="3" t="inlineStr">
        <is>
          <t>数据里没有周围物体的 3D 轨迹，需先用 CV（3D 检测/单目深度）从画面重建，误差大</t>
        </is>
      </c>
    </row>
    <row r="15">
      <c r="A15" s="3" t="inlineStr">
        <is>
          <t>100-Car 公开部分</t>
        </is>
      </c>
      <c r="B15" s="3" t="inlineStr">
        <is>
          <t>PET</t>
        </is>
      </c>
      <c r="C15" s="8" t="inlineStr">
        <is>
          <t>✗</t>
        </is>
      </c>
      <c r="D15" s="24" t="inlineStr">
        <is>
          <t>缺数据</t>
        </is>
      </c>
      <c r="E15" s="3" t="inlineStr">
        <is>
          <t>[缺数据] 交叉冲突：只有前车，没有交叉冲突</t>
        </is>
      </c>
    </row>
    <row r="16">
      <c r="A16" s="3" t="inlineStr">
        <is>
          <t>KITTI 跟踪</t>
        </is>
      </c>
      <c r="B16" s="3" t="inlineStr">
        <is>
          <t>DRAC</t>
        </is>
      </c>
      <c r="C16" s="5" t="inlineStr">
        <is>
          <t>△</t>
        </is>
      </c>
      <c r="D16" s="24" t="inlineStr">
        <is>
          <t>C7</t>
        </is>
      </c>
      <c r="E16" s="3" t="inlineStr">
        <is>
          <t>[C7] 前后车配对：没有高精地图，只能按几何位置判断是否同车道</t>
        </is>
      </c>
    </row>
    <row r="17">
      <c r="A17" s="3" t="inlineStr">
        <is>
          <t>PandaSet</t>
        </is>
      </c>
      <c r="B17" s="3" t="inlineStr">
        <is>
          <t>DRAC</t>
        </is>
      </c>
      <c r="C17" s="5" t="inlineStr">
        <is>
          <t>△</t>
        </is>
      </c>
      <c r="D17" s="24" t="inlineStr">
        <is>
          <t>C7</t>
        </is>
      </c>
      <c r="E17" s="3" t="inlineStr">
        <is>
          <t>[C7] 前后车配对：没有高精地图，只能按几何位置判断是否同车道</t>
        </is>
      </c>
    </row>
    <row r="18">
      <c r="A18" s="3" t="inlineStr">
        <is>
          <t>Waymo WOD-E2E</t>
        </is>
      </c>
      <c r="B18" s="3" t="inlineStr">
        <is>
          <t>DRAC</t>
        </is>
      </c>
      <c r="C18" s="7" t="inlineStr">
        <is>
          <t>◇</t>
        </is>
      </c>
      <c r="D18" s="24" t="inlineStr">
        <is>
          <t>需 CV 重建</t>
        </is>
      </c>
      <c r="E18" s="3" t="inlineStr">
        <is>
          <t>数据里没有周围物体的 3D 轨迹，需先用 CV（3D 检测/单目深度）从画面重建，误差大</t>
        </is>
      </c>
    </row>
    <row r="19">
      <c r="A19" s="3" t="inlineStr">
        <is>
          <t>Nexar / DoTA / CCD</t>
        </is>
      </c>
      <c r="B19" s="3" t="inlineStr">
        <is>
          <t>DRAC</t>
        </is>
      </c>
      <c r="C19" s="7" t="inlineStr">
        <is>
          <t>◇</t>
        </is>
      </c>
      <c r="D19" s="24" t="inlineStr">
        <is>
          <t>需 CV 重建</t>
        </is>
      </c>
      <c r="E19" s="3" t="inlineStr">
        <is>
          <t>数据里没有周围物体的 3D 轨迹，需先用 CV（3D 检测/单目深度）从画面重建，误差大</t>
        </is>
      </c>
    </row>
    <row r="20">
      <c r="A20" s="3" t="inlineStr">
        <is>
          <t>CitySim</t>
        </is>
      </c>
      <c r="B20" s="3" t="inlineStr">
        <is>
          <t>MTTC</t>
        </is>
      </c>
      <c r="C20" s="5" t="inlineStr">
        <is>
          <t>△</t>
        </is>
      </c>
      <c r="D20" s="24" t="inlineStr">
        <is>
          <t>C1</t>
        </is>
      </c>
      <c r="E20" s="3" t="inlineStr">
        <is>
          <t>[C1] 加速度：没有加速度字段，要由速度（30 Hz）差分并平滑</t>
        </is>
      </c>
    </row>
    <row r="21">
      <c r="A21" s="3" t="inlineStr">
        <is>
          <t>NGSIM</t>
        </is>
      </c>
      <c r="B21" s="3" t="inlineStr">
        <is>
          <t>MTTC</t>
        </is>
      </c>
      <c r="C21" s="5" t="inlineStr">
        <is>
          <t>△</t>
        </is>
      </c>
      <c r="D21" s="24" t="inlineStr">
        <is>
          <t>C1</t>
        </is>
      </c>
      <c r="E21" s="3" t="inlineStr">
        <is>
          <t>[C1] 加速度：官方加速度噪声大，需先平滑（或用他人重构的轨迹）</t>
        </is>
      </c>
    </row>
    <row r="22">
      <c r="A22" s="3" t="inlineStr">
        <is>
          <t>INTERACTION</t>
        </is>
      </c>
      <c r="B22" s="3" t="inlineStr">
        <is>
          <t>MTTC</t>
        </is>
      </c>
      <c r="C22" s="5" t="inlineStr">
        <is>
          <t>△</t>
        </is>
      </c>
      <c r="D22" s="24" t="inlineStr">
        <is>
          <t>C1</t>
        </is>
      </c>
      <c r="E22" s="3" t="inlineStr">
        <is>
          <t>[C1] 加速度：没有加速度字段，需由速度（10 Hz）差分</t>
        </is>
      </c>
    </row>
    <row r="23">
      <c r="A23" s="3" t="inlineStr">
        <is>
          <t>TGSIM</t>
        </is>
      </c>
      <c r="B23" s="3" t="inlineStr">
        <is>
          <t>MTTC</t>
        </is>
      </c>
      <c r="C23" s="5" t="inlineStr">
        <is>
          <t>△</t>
        </is>
      </c>
      <c r="D23" s="24" t="inlineStr">
        <is>
          <t>C1</t>
        </is>
      </c>
      <c r="E23" s="3" t="inlineStr">
        <is>
          <t>[C1] 加速度：是否直接提供加速度未核实，可能需自己差分</t>
        </is>
      </c>
    </row>
    <row r="24" ht="24.9" customHeight="1" s="26">
      <c r="A24" s="3" t="inlineStr">
        <is>
          <t>nuScenes</t>
        </is>
      </c>
      <c r="B24" s="3" t="inlineStr">
        <is>
          <t>MTTC</t>
        </is>
      </c>
      <c r="C24" s="5" t="inlineStr">
        <is>
          <t>△</t>
        </is>
      </c>
      <c r="D24" s="24" t="inlineStr">
        <is>
          <t>C1</t>
        </is>
      </c>
      <c r="E24" s="3" t="inlineStr">
        <is>
          <t>[C1] 加速度：其他车的加速度要由 2 Hz 标注二次差分，误差大，也看不出刹车从哪一刻开始；自车加速度用 CAN 总线（IMU 100 Hz）</t>
        </is>
      </c>
    </row>
    <row r="25">
      <c r="A25" s="3" t="inlineStr">
        <is>
          <t>Argoverse 2 传感器</t>
        </is>
      </c>
      <c r="B25" s="3" t="inlineStr">
        <is>
          <t>MTTC</t>
        </is>
      </c>
      <c r="C25" s="5" t="inlineStr">
        <is>
          <t>△</t>
        </is>
      </c>
      <c r="D25" s="24" t="inlineStr">
        <is>
          <t>C1</t>
        </is>
      </c>
      <c r="E25" s="3" t="inlineStr">
        <is>
          <t>[C1] 加速度：其他车加速度要由 3D 框二次差分并平滑；自车可用位姿</t>
        </is>
      </c>
    </row>
    <row r="26">
      <c r="A26" s="3" t="inlineStr">
        <is>
          <t>KITTI 跟踪</t>
        </is>
      </c>
      <c r="B26" s="3" t="inlineStr">
        <is>
          <t>MTTC</t>
        </is>
      </c>
      <c r="C26" s="5" t="inlineStr">
        <is>
          <t>△</t>
        </is>
      </c>
      <c r="D26" s="24" t="inlineStr">
        <is>
          <t>C7 C1</t>
        </is>
      </c>
      <c r="E26" s="3" t="inlineStr">
        <is>
          <t>[C7] 前后车配对：没有高精地图，只能按几何位置判断是否同车道；[C1] 加速度：其他车需差分平滑；自车由 GPS/IMU 直接给</t>
        </is>
      </c>
    </row>
    <row r="27" ht="24.9" customHeight="1" s="26">
      <c r="A27" s="3" t="inlineStr">
        <is>
          <t>PandaSet</t>
        </is>
      </c>
      <c r="B27" s="3" t="inlineStr">
        <is>
          <t>MTTC</t>
        </is>
      </c>
      <c r="C27" s="5" t="inlineStr">
        <is>
          <t>△</t>
        </is>
      </c>
      <c r="D27" s="24" t="inlineStr">
        <is>
          <t>C7 C1</t>
        </is>
      </c>
      <c r="E27" s="3" t="inlineStr">
        <is>
          <t>[C7] 前后车配对：没有高精地图，只能按几何位置判断是否同车道；[C1] 加速度：其他车需差分平滑</t>
        </is>
      </c>
    </row>
    <row r="28">
      <c r="A28" s="3" t="inlineStr">
        <is>
          <t>nuPlan</t>
        </is>
      </c>
      <c r="B28" s="3" t="inlineStr">
        <is>
          <t>MTTC</t>
        </is>
      </c>
      <c r="C28" s="5" t="inlineStr">
        <is>
          <t>△</t>
        </is>
      </c>
      <c r="D28" s="24" t="inlineStr">
        <is>
          <t>C1</t>
        </is>
      </c>
      <c r="E28" s="3" t="inlineStr">
        <is>
          <t>[C1] 加速度：20 Hz 自动标注轨迹，需平滑</t>
        </is>
      </c>
    </row>
    <row r="29">
      <c r="A29" s="3" t="inlineStr">
        <is>
          <t>Waymo 运动预测</t>
        </is>
      </c>
      <c r="B29" s="3" t="inlineStr">
        <is>
          <t>MTTC</t>
        </is>
      </c>
      <c r="C29" s="5" t="inlineStr">
        <is>
          <t>△</t>
        </is>
      </c>
      <c r="D29" s="24" t="inlineStr">
        <is>
          <t>C1</t>
        </is>
      </c>
      <c r="E29" s="3" t="inlineStr">
        <is>
          <t>[C1] 加速度：需差分平滑</t>
        </is>
      </c>
    </row>
    <row r="30">
      <c r="A30" s="3" t="inlineStr">
        <is>
          <t>Waymo WOD-E2E</t>
        </is>
      </c>
      <c r="B30" s="3" t="inlineStr">
        <is>
          <t>MTTC</t>
        </is>
      </c>
      <c r="C30" s="7" t="inlineStr">
        <is>
          <t>◇</t>
        </is>
      </c>
      <c r="D30" s="24" t="inlineStr">
        <is>
          <t>需 CV 重建</t>
        </is>
      </c>
      <c r="E30" s="3" t="inlineStr">
        <is>
          <t>数据里没有周围物体的 3D 轨迹，需先用 CV（3D 检测/单目深度）从画面重建，误差大</t>
        </is>
      </c>
    </row>
    <row r="31">
      <c r="A31" s="3" t="inlineStr">
        <is>
          <t>Nexar / DoTA / CCD</t>
        </is>
      </c>
      <c r="B31" s="3" t="inlineStr">
        <is>
          <t>MTTC</t>
        </is>
      </c>
      <c r="C31" s="7" t="inlineStr">
        <is>
          <t>◇</t>
        </is>
      </c>
      <c r="D31" s="24" t="inlineStr">
        <is>
          <t>需 CV 重建</t>
        </is>
      </c>
      <c r="E31" s="3" t="inlineStr">
        <is>
          <t>数据里没有周围物体的 3D 轨迹，需先用 CV（3D 检测/单目深度）从画面重建，误差大</t>
        </is>
      </c>
    </row>
    <row r="32">
      <c r="A32" s="3" t="inlineStr">
        <is>
          <t>100-Car 公开部分</t>
        </is>
      </c>
      <c r="B32" s="3" t="inlineStr">
        <is>
          <t>MTTC</t>
        </is>
      </c>
      <c r="C32" s="5" t="inlineStr">
        <is>
          <t>△</t>
        </is>
      </c>
      <c r="D32" s="24" t="inlineStr">
        <is>
          <t>C1</t>
        </is>
      </c>
      <c r="E32" s="3" t="inlineStr">
        <is>
          <t>[C1] 加速度：前车加速度需由相对速度差分</t>
        </is>
      </c>
    </row>
    <row r="33">
      <c r="A33" s="3" t="inlineStr">
        <is>
          <t>KITTI 跟踪</t>
        </is>
      </c>
      <c r="B33" s="3" t="inlineStr">
        <is>
          <t>RTTC (ITTC)</t>
        </is>
      </c>
      <c r="C33" s="5" t="inlineStr">
        <is>
          <t>△</t>
        </is>
      </c>
      <c r="D33" s="24" t="inlineStr">
        <is>
          <t>C7</t>
        </is>
      </c>
      <c r="E33" s="3" t="inlineStr">
        <is>
          <t>[C7] 前后车配对：没有高精地图，只能按几何位置判断是否同车道</t>
        </is>
      </c>
    </row>
    <row r="34">
      <c r="A34" s="3" t="inlineStr">
        <is>
          <t>PandaSet</t>
        </is>
      </c>
      <c r="B34" s="3" t="inlineStr">
        <is>
          <t>RTTC (ITTC)</t>
        </is>
      </c>
      <c r="C34" s="5" t="inlineStr">
        <is>
          <t>△</t>
        </is>
      </c>
      <c r="D34" s="24" t="inlineStr">
        <is>
          <t>C7</t>
        </is>
      </c>
      <c r="E34" s="3" t="inlineStr">
        <is>
          <t>[C7] 前后车配对：没有高精地图，只能按几何位置判断是否同车道</t>
        </is>
      </c>
    </row>
    <row r="35">
      <c r="A35" s="3" t="inlineStr">
        <is>
          <t>Waymo WOD-E2E</t>
        </is>
      </c>
      <c r="B35" s="3" t="inlineStr">
        <is>
          <t>RTTC (ITTC)</t>
        </is>
      </c>
      <c r="C35" s="6" t="inlineStr">
        <is>
          <t>≈</t>
        </is>
      </c>
      <c r="D35" s="24" t="inlineStr">
        <is>
          <t>画面近似</t>
        </is>
      </c>
      <c r="E35" s="3" t="inlineStr">
        <is>
          <t>可由目标在画面中变大的速度近似（不需要真实距离）</t>
        </is>
      </c>
    </row>
    <row r="36">
      <c r="A36" s="3" t="inlineStr">
        <is>
          <t>Nexar / DoTA / CCD</t>
        </is>
      </c>
      <c r="B36" s="3" t="inlineStr">
        <is>
          <t>RTTC (ITTC)</t>
        </is>
      </c>
      <c r="C36" s="6" t="inlineStr">
        <is>
          <t>≈</t>
        </is>
      </c>
      <c r="D36" s="24" t="inlineStr">
        <is>
          <t>画面近似</t>
        </is>
      </c>
      <c r="E36" s="3" t="inlineStr">
        <is>
          <t>可由目标在画面中变大的速度近似（不需要真实距离）</t>
        </is>
      </c>
    </row>
    <row r="37">
      <c r="A37" s="3" t="inlineStr">
        <is>
          <t>NGSIM</t>
        </is>
      </c>
      <c r="B37" s="3" t="inlineStr">
        <is>
          <t>2D-TTC</t>
        </is>
      </c>
      <c r="C37" s="5" t="inlineStr">
        <is>
          <t>△</t>
        </is>
      </c>
      <c r="D37" s="24" t="inlineStr">
        <is>
          <t>C3</t>
        </is>
      </c>
      <c r="E37" s="3" t="inlineStr">
        <is>
          <t>[C3] 带朝向外框：有长宽但没有朝向，需由位置变化推算</t>
        </is>
      </c>
    </row>
    <row r="38">
      <c r="A38" s="3" t="inlineStr">
        <is>
          <t>highD</t>
        </is>
      </c>
      <c r="B38" s="3" t="inlineStr">
        <is>
          <t>2D-TTC</t>
        </is>
      </c>
      <c r="C38" s="5" t="inlineStr">
        <is>
          <t>△</t>
        </is>
      </c>
      <c r="D38" s="24" t="inlineStr">
        <is>
          <t>C3</t>
        </is>
      </c>
      <c r="E38" s="3" t="inlineStr">
        <is>
          <t>[C3] 带朝向外框：外框与车道平行，朝向需由速度推算；横向交互只有变道</t>
        </is>
      </c>
    </row>
    <row r="39">
      <c r="A39" s="3" t="inlineStr">
        <is>
          <t>TGSIM</t>
        </is>
      </c>
      <c r="B39" s="3" t="inlineStr">
        <is>
          <t>2D-TTC</t>
        </is>
      </c>
      <c r="C39" s="5" t="inlineStr">
        <is>
          <t>△</t>
        </is>
      </c>
      <c r="D39" s="24" t="inlineStr">
        <is>
          <t>C3</t>
        </is>
      </c>
      <c r="E39" s="3" t="inlineStr">
        <is>
          <t>[C3] 带朝向外框：是否提供朝向未核实，可能需由位置推算</t>
        </is>
      </c>
    </row>
    <row r="40">
      <c r="A40" s="3" t="inlineStr">
        <is>
          <t>Waymo WOD-E2E</t>
        </is>
      </c>
      <c r="B40" s="3" t="inlineStr">
        <is>
          <t>2D-TTC</t>
        </is>
      </c>
      <c r="C40" s="7" t="inlineStr">
        <is>
          <t>◇</t>
        </is>
      </c>
      <c r="D40" s="24" t="inlineStr">
        <is>
          <t>需 CV 重建</t>
        </is>
      </c>
      <c r="E40" s="3" t="inlineStr">
        <is>
          <t>数据里没有周围物体的 3D 轨迹，需先用 CV（3D 检测/单目深度）从画面重建，误差大</t>
        </is>
      </c>
    </row>
    <row r="41">
      <c r="A41" s="3" t="inlineStr">
        <is>
          <t>Nexar / DoTA / CCD</t>
        </is>
      </c>
      <c r="B41" s="3" t="inlineStr">
        <is>
          <t>2D-TTC</t>
        </is>
      </c>
      <c r="C41" s="7" t="inlineStr">
        <is>
          <t>◇</t>
        </is>
      </c>
      <c r="D41" s="24" t="inlineStr">
        <is>
          <t>需 CV 重建</t>
        </is>
      </c>
      <c r="E41" s="3" t="inlineStr">
        <is>
          <t>数据里没有周围物体的 3D 轨迹，需先用 CV（3D 检测/单目深度）从画面重建，误差大</t>
        </is>
      </c>
    </row>
    <row r="42">
      <c r="A42" s="3" t="inlineStr">
        <is>
          <t>100-Car 公开部分</t>
        </is>
      </c>
      <c r="B42" s="3" t="inlineStr">
        <is>
          <t>2D-TTC</t>
        </is>
      </c>
      <c r="C42" s="8" t="inlineStr">
        <is>
          <t>✗</t>
        </is>
      </c>
      <c r="D42" s="24" t="inlineStr">
        <is>
          <t>缺数据</t>
        </is>
      </c>
      <c r="E42" s="3" t="inlineStr">
        <is>
          <t>[缺数据] 带朝向外框：没有周围车的外框和横向信息</t>
        </is>
      </c>
    </row>
    <row r="43">
      <c r="A43" s="3" t="inlineStr">
        <is>
          <t>CitySim</t>
        </is>
      </c>
      <c r="B43" s="3" t="inlineStr">
        <is>
          <t>MPrISM</t>
        </is>
      </c>
      <c r="C43" s="4" t="inlineStr">
        <is>
          <t>◐</t>
        </is>
      </c>
      <c r="D43" s="24" t="inlineStr">
        <is>
          <t>自设参数</t>
        </is>
      </c>
      <c r="E43" s="3" t="inlineStr">
        <is>
          <t>[P] 需自设：车辆动力学模型和最坏情况的设定</t>
        </is>
      </c>
    </row>
    <row r="44">
      <c r="A44" s="3" t="inlineStr">
        <is>
          <t>NGSIM</t>
        </is>
      </c>
      <c r="B44" s="3" t="inlineStr">
        <is>
          <t>MPrISM</t>
        </is>
      </c>
      <c r="C44" s="5" t="inlineStr">
        <is>
          <t>△</t>
        </is>
      </c>
      <c r="D44" s="24" t="inlineStr">
        <is>
          <t>C3 自设参数</t>
        </is>
      </c>
      <c r="E44" s="3" t="inlineStr">
        <is>
          <t>[C3] 带朝向外框：有长宽但没有朝向，需由位置变化推算；[P] 需自设：车辆动力学模型和最坏情况的设定</t>
        </is>
      </c>
    </row>
    <row r="45">
      <c r="A45" s="3" t="inlineStr">
        <is>
          <t>highD</t>
        </is>
      </c>
      <c r="B45" s="3" t="inlineStr">
        <is>
          <t>MPrISM</t>
        </is>
      </c>
      <c r="C45" s="5" t="inlineStr">
        <is>
          <t>△</t>
        </is>
      </c>
      <c r="D45" s="24" t="inlineStr">
        <is>
          <t>C3 自设参数</t>
        </is>
      </c>
      <c r="E45" s="3" t="inlineStr">
        <is>
          <t>[C3] 带朝向外框：外框与车道平行，朝向需由速度推算；横向交互只有变道；[P] 需自设：车辆动力学模型和最坏情况的设定</t>
        </is>
      </c>
    </row>
    <row r="46" ht="24.9" customHeight="1" s="26">
      <c r="A46" s="3" t="inlineStr">
        <is>
          <t>exiD</t>
        </is>
      </c>
      <c r="B46" s="3" t="inlineStr">
        <is>
          <t>MPrISM</t>
        </is>
      </c>
      <c r="C46" s="4" t="inlineStr">
        <is>
          <t>◐</t>
        </is>
      </c>
      <c r="D46" s="24" t="inlineStr">
        <is>
          <t>自设参数</t>
        </is>
      </c>
      <c r="E46" s="3" t="inlineStr">
        <is>
          <t>[P] 需自设：车辆动力学模型和最坏情况的设定</t>
        </is>
      </c>
    </row>
    <row r="47">
      <c r="A47" s="3" t="inlineStr">
        <is>
          <t>inD / rounD</t>
        </is>
      </c>
      <c r="B47" s="3" t="inlineStr">
        <is>
          <t>MPrISM</t>
        </is>
      </c>
      <c r="C47" s="4" t="inlineStr">
        <is>
          <t>◐</t>
        </is>
      </c>
      <c r="D47" s="24" t="inlineStr">
        <is>
          <t>自设参数</t>
        </is>
      </c>
      <c r="E47" s="3" t="inlineStr">
        <is>
          <t>[P] 需自设：车辆动力学模型和最坏情况的设定</t>
        </is>
      </c>
    </row>
    <row r="48">
      <c r="A48" s="3" t="inlineStr">
        <is>
          <t>SinD</t>
        </is>
      </c>
      <c r="B48" s="3" t="inlineStr">
        <is>
          <t>MPrISM</t>
        </is>
      </c>
      <c r="C48" s="4" t="inlineStr">
        <is>
          <t>◐</t>
        </is>
      </c>
      <c r="D48" s="24" t="inlineStr">
        <is>
          <t>自设参数</t>
        </is>
      </c>
      <c r="E48" s="3" t="inlineStr">
        <is>
          <t>[P] 需自设：车辆动力学模型和最坏情况的设定</t>
        </is>
      </c>
    </row>
    <row r="49">
      <c r="A49" s="3" t="inlineStr">
        <is>
          <t>INTERACTION</t>
        </is>
      </c>
      <c r="B49" s="3" t="inlineStr">
        <is>
          <t>MPrISM</t>
        </is>
      </c>
      <c r="C49" s="4" t="inlineStr">
        <is>
          <t>◐</t>
        </is>
      </c>
      <c r="D49" s="24" t="inlineStr">
        <is>
          <t>自设参数</t>
        </is>
      </c>
      <c r="E49" s="3" t="inlineStr">
        <is>
          <t>[P] 需自设：车辆动力学模型和最坏情况的设定</t>
        </is>
      </c>
    </row>
    <row r="50">
      <c r="A50" s="3" t="inlineStr">
        <is>
          <t>TGSIM</t>
        </is>
      </c>
      <c r="B50" s="3" t="inlineStr">
        <is>
          <t>MPrISM</t>
        </is>
      </c>
      <c r="C50" s="5" t="inlineStr">
        <is>
          <t>△</t>
        </is>
      </c>
      <c r="D50" s="24" t="inlineStr">
        <is>
          <t>C3 自设参数</t>
        </is>
      </c>
      <c r="E50" s="3" t="inlineStr">
        <is>
          <t>[C3] 带朝向外框：是否提供朝向未核实，可能需由位置推算；[P] 需自设：车辆动力学模型和最坏情况的设定</t>
        </is>
      </c>
    </row>
    <row r="51">
      <c r="A51" s="3" t="inlineStr">
        <is>
          <t>nuScenes</t>
        </is>
      </c>
      <c r="B51" s="3" t="inlineStr">
        <is>
          <t>MPrISM</t>
        </is>
      </c>
      <c r="C51" s="4" t="inlineStr">
        <is>
          <t>◐</t>
        </is>
      </c>
      <c r="D51" s="24" t="inlineStr">
        <is>
          <t>自设参数</t>
        </is>
      </c>
      <c r="E51" s="3" t="inlineStr">
        <is>
          <t>[P] 需自设：车辆动力学模型和最坏情况的设定</t>
        </is>
      </c>
    </row>
    <row r="52">
      <c r="A52" s="3" t="inlineStr">
        <is>
          <t>Argoverse 2 传感器</t>
        </is>
      </c>
      <c r="B52" s="3" t="inlineStr">
        <is>
          <t>MPrISM</t>
        </is>
      </c>
      <c r="C52" s="4" t="inlineStr">
        <is>
          <t>◐</t>
        </is>
      </c>
      <c r="D52" s="24" t="inlineStr">
        <is>
          <t>自设参数</t>
        </is>
      </c>
      <c r="E52" s="3" t="inlineStr">
        <is>
          <t>[P] 需自设：车辆动力学模型和最坏情况的设定</t>
        </is>
      </c>
    </row>
    <row r="53">
      <c r="A53" s="3" t="inlineStr">
        <is>
          <t>Waymo 感知</t>
        </is>
      </c>
      <c r="B53" s="3" t="inlineStr">
        <is>
          <t>MPrISM</t>
        </is>
      </c>
      <c r="C53" s="4" t="inlineStr">
        <is>
          <t>◐</t>
        </is>
      </c>
      <c r="D53" s="24" t="inlineStr">
        <is>
          <t>自设参数</t>
        </is>
      </c>
      <c r="E53" s="3" t="inlineStr">
        <is>
          <t>[P] 需自设：车辆动力学模型和最坏情况的设定</t>
        </is>
      </c>
    </row>
    <row r="54">
      <c r="A54" s="3" t="inlineStr">
        <is>
          <t>KITTI 跟踪</t>
        </is>
      </c>
      <c r="B54" s="3" t="inlineStr">
        <is>
          <t>MPrISM</t>
        </is>
      </c>
      <c r="C54" s="4" t="inlineStr">
        <is>
          <t>◐</t>
        </is>
      </c>
      <c r="D54" s="24" t="inlineStr">
        <is>
          <t>自设参数</t>
        </is>
      </c>
      <c r="E54" s="3" t="inlineStr">
        <is>
          <t>[P] 需自设：车辆动力学模型和最坏情况的设定</t>
        </is>
      </c>
    </row>
    <row r="55">
      <c r="A55" s="3" t="inlineStr">
        <is>
          <t>PandaSet</t>
        </is>
      </c>
      <c r="B55" s="3" t="inlineStr">
        <is>
          <t>MPrISM</t>
        </is>
      </c>
      <c r="C55" s="4" t="inlineStr">
        <is>
          <t>◐</t>
        </is>
      </c>
      <c r="D55" s="24" t="inlineStr">
        <is>
          <t>自设参数</t>
        </is>
      </c>
      <c r="E55" s="3" t="inlineStr">
        <is>
          <t>[P] 需自设：车辆动力学模型和最坏情况的设定</t>
        </is>
      </c>
    </row>
    <row r="56">
      <c r="A56" s="3" t="inlineStr">
        <is>
          <t>nuPlan</t>
        </is>
      </c>
      <c r="B56" s="3" t="inlineStr">
        <is>
          <t>MPrISM</t>
        </is>
      </c>
      <c r="C56" s="4" t="inlineStr">
        <is>
          <t>◐</t>
        </is>
      </c>
      <c r="D56" s="24" t="inlineStr">
        <is>
          <t>自设参数</t>
        </is>
      </c>
      <c r="E56" s="3" t="inlineStr">
        <is>
          <t>[P] 需自设：车辆动力学模型和最坏情况的设定</t>
        </is>
      </c>
    </row>
    <row r="57">
      <c r="A57" s="3" t="inlineStr">
        <is>
          <t>Waymo 运动预测</t>
        </is>
      </c>
      <c r="B57" s="3" t="inlineStr">
        <is>
          <t>MPrISM</t>
        </is>
      </c>
      <c r="C57" s="4" t="inlineStr">
        <is>
          <t>◐</t>
        </is>
      </c>
      <c r="D57" s="24" t="inlineStr">
        <is>
          <t>自设参数</t>
        </is>
      </c>
      <c r="E57" s="3" t="inlineStr">
        <is>
          <t>[P] 需自设：车辆动力学模型和最坏情况的设定</t>
        </is>
      </c>
    </row>
    <row r="58">
      <c r="A58" s="3" t="inlineStr">
        <is>
          <t>DeepAccident（仿真）</t>
        </is>
      </c>
      <c r="B58" s="3" t="inlineStr">
        <is>
          <t>MPrISM</t>
        </is>
      </c>
      <c r="C58" s="4" t="inlineStr">
        <is>
          <t>◐</t>
        </is>
      </c>
      <c r="D58" s="24" t="inlineStr">
        <is>
          <t>自设参数</t>
        </is>
      </c>
      <c r="E58" s="3" t="inlineStr">
        <is>
          <t>[P] 需自设：车辆动力学模型和最坏情况的设定</t>
        </is>
      </c>
    </row>
    <row r="59">
      <c r="A59" s="3" t="inlineStr">
        <is>
          <t>Waymo WOD-E2E</t>
        </is>
      </c>
      <c r="B59" s="3" t="inlineStr">
        <is>
          <t>MPrISM</t>
        </is>
      </c>
      <c r="C59" s="7" t="inlineStr">
        <is>
          <t>◇</t>
        </is>
      </c>
      <c r="D59" s="24" t="inlineStr">
        <is>
          <t>需 CV 重建</t>
        </is>
      </c>
      <c r="E59" s="3" t="inlineStr">
        <is>
          <t>数据里没有周围物体的 3D 轨迹，需先用 CV（3D 检测/单目深度）从画面重建，误差大</t>
        </is>
      </c>
    </row>
    <row r="60">
      <c r="A60" s="3" t="inlineStr">
        <is>
          <t>Nexar / DoTA / CCD</t>
        </is>
      </c>
      <c r="B60" s="3" t="inlineStr">
        <is>
          <t>MPrISM</t>
        </is>
      </c>
      <c r="C60" s="7" t="inlineStr">
        <is>
          <t>◇</t>
        </is>
      </c>
      <c r="D60" s="24" t="inlineStr">
        <is>
          <t>需 CV 重建</t>
        </is>
      </c>
      <c r="E60" s="3" t="inlineStr">
        <is>
          <t>数据里没有周围物体的 3D 轨迹，需先用 CV（3D 检测/单目深度）从画面重建，误差大</t>
        </is>
      </c>
    </row>
    <row r="61">
      <c r="A61" s="3" t="inlineStr">
        <is>
          <t>100-Car 公开部分</t>
        </is>
      </c>
      <c r="B61" s="3" t="inlineStr">
        <is>
          <t>MPrISM</t>
        </is>
      </c>
      <c r="C61" s="8" t="inlineStr">
        <is>
          <t>✗</t>
        </is>
      </c>
      <c r="D61" s="24" t="inlineStr">
        <is>
          <t>缺数据</t>
        </is>
      </c>
      <c r="E61" s="3" t="inlineStr">
        <is>
          <t>[缺数据] 带朝向外框：没有周围车的外框和横向信息</t>
        </is>
      </c>
    </row>
    <row r="62" s="26">
      <c r="A62" s="3" t="inlineStr">
        <is>
          <t>KITTI 跟踪</t>
        </is>
      </c>
      <c r="B62" s="3" t="inlineStr">
        <is>
          <t>THW</t>
        </is>
      </c>
      <c r="C62" s="5" t="inlineStr">
        <is>
          <t>△</t>
        </is>
      </c>
      <c r="D62" s="24" t="inlineStr">
        <is>
          <t>C7</t>
        </is>
      </c>
      <c r="E62" s="3" t="inlineStr">
        <is>
          <t>[C7] 前后车配对：没有高精地图，只能按几何位置判断是否同车道</t>
        </is>
      </c>
    </row>
    <row r="63" s="26">
      <c r="A63" s="3" t="inlineStr">
        <is>
          <t>PandaSet</t>
        </is>
      </c>
      <c r="B63" s="3" t="inlineStr">
        <is>
          <t>THW</t>
        </is>
      </c>
      <c r="C63" s="5" t="inlineStr">
        <is>
          <t>△</t>
        </is>
      </c>
      <c r="D63" s="24" t="inlineStr">
        <is>
          <t>C7</t>
        </is>
      </c>
      <c r="E63" s="3" t="inlineStr">
        <is>
          <t>[C7] 前后车配对：没有高精地图，只能按几何位置判断是否同车道</t>
        </is>
      </c>
    </row>
    <row r="64" s="26">
      <c r="A64" s="3" t="inlineStr">
        <is>
          <t>Waymo WOD-E2E</t>
        </is>
      </c>
      <c r="B64" s="3" t="inlineStr">
        <is>
          <t>THW</t>
        </is>
      </c>
      <c r="C64" s="7" t="inlineStr">
        <is>
          <t>◇</t>
        </is>
      </c>
      <c r="D64" s="24" t="inlineStr">
        <is>
          <t>需 CV 重建</t>
        </is>
      </c>
      <c r="E64" s="3" t="inlineStr">
        <is>
          <t>数据里没有周围物体的 3D 轨迹，需先用 CV（3D 检测/单目深度）从画面重建，误差大</t>
        </is>
      </c>
    </row>
    <row r="65" s="26">
      <c r="A65" s="3" t="inlineStr">
        <is>
          <t>Nexar / DoTA / CCD</t>
        </is>
      </c>
      <c r="B65" s="3" t="inlineStr">
        <is>
          <t>THW</t>
        </is>
      </c>
      <c r="C65" s="7" t="inlineStr">
        <is>
          <t>◇</t>
        </is>
      </c>
      <c r="D65" s="24" t="inlineStr">
        <is>
          <t>需 CV 重建</t>
        </is>
      </c>
      <c r="E65" s="3" t="inlineStr">
        <is>
          <t>数据里没有周围物体的 3D 轨迹，需先用 CV（3D 检测/单目深度）从画面重建，误差大</t>
        </is>
      </c>
    </row>
    <row r="66" s="26">
      <c r="A66" s="3" t="inlineStr">
        <is>
          <t>CitySim</t>
        </is>
      </c>
      <c r="B66" s="3" t="inlineStr">
        <is>
          <t>PSD</t>
        </is>
      </c>
      <c r="C66" s="4" t="inlineStr">
        <is>
          <t>◐</t>
        </is>
      </c>
      <c r="D66" s="24" t="inlineStr">
        <is>
          <t>自设参数</t>
        </is>
      </c>
      <c r="E66" s="3" t="inlineStr">
        <is>
          <t>[P] 需自设：最大可接受减速度</t>
        </is>
      </c>
    </row>
    <row r="67" s="26">
      <c r="A67" s="3" t="inlineStr">
        <is>
          <t>NGSIM</t>
        </is>
      </c>
      <c r="B67" s="3" t="inlineStr">
        <is>
          <t>PSD</t>
        </is>
      </c>
      <c r="C67" s="4" t="inlineStr">
        <is>
          <t>◐</t>
        </is>
      </c>
      <c r="D67" s="24" t="inlineStr">
        <is>
          <t>自设参数</t>
        </is>
      </c>
      <c r="E67" s="3" t="inlineStr">
        <is>
          <t>[P] 需自设：最大可接受减速度</t>
        </is>
      </c>
    </row>
    <row r="68" s="26">
      <c r="A68" s="3" t="inlineStr">
        <is>
          <t>highD</t>
        </is>
      </c>
      <c r="B68" s="3" t="inlineStr">
        <is>
          <t>PSD</t>
        </is>
      </c>
      <c r="C68" s="4" t="inlineStr">
        <is>
          <t>◐</t>
        </is>
      </c>
      <c r="D68" s="24" t="inlineStr">
        <is>
          <t>自设参数</t>
        </is>
      </c>
      <c r="E68" s="3" t="inlineStr">
        <is>
          <t>[P] 需自设：最大可接受减速度</t>
        </is>
      </c>
    </row>
    <row r="69" s="26">
      <c r="A69" s="3" t="inlineStr">
        <is>
          <t>exiD</t>
        </is>
      </c>
      <c r="B69" s="3" t="inlineStr">
        <is>
          <t>PSD</t>
        </is>
      </c>
      <c r="C69" s="4" t="inlineStr">
        <is>
          <t>◐</t>
        </is>
      </c>
      <c r="D69" s="24" t="inlineStr">
        <is>
          <t>自设参数</t>
        </is>
      </c>
      <c r="E69" s="3" t="inlineStr">
        <is>
          <t>[P] 需自设：最大可接受减速度</t>
        </is>
      </c>
    </row>
    <row r="70" s="26">
      <c r="A70" s="3" t="inlineStr">
        <is>
          <t>inD / rounD</t>
        </is>
      </c>
      <c r="B70" s="3" t="inlineStr">
        <is>
          <t>PSD</t>
        </is>
      </c>
      <c r="C70" s="4" t="inlineStr">
        <is>
          <t>◐</t>
        </is>
      </c>
      <c r="D70" s="24" t="inlineStr">
        <is>
          <t>自设参数</t>
        </is>
      </c>
      <c r="E70" s="3" t="inlineStr">
        <is>
          <t>[P] 需自设：最大可接受减速度</t>
        </is>
      </c>
    </row>
    <row r="71" s="26">
      <c r="A71" s="3" t="inlineStr">
        <is>
          <t>SinD</t>
        </is>
      </c>
      <c r="B71" s="3" t="inlineStr">
        <is>
          <t>PSD</t>
        </is>
      </c>
      <c r="C71" s="4" t="inlineStr">
        <is>
          <t>◐</t>
        </is>
      </c>
      <c r="D71" s="24" t="inlineStr">
        <is>
          <t>自设参数</t>
        </is>
      </c>
      <c r="E71" s="3" t="inlineStr">
        <is>
          <t>[P] 需自设：最大可接受减速度</t>
        </is>
      </c>
    </row>
    <row r="72" s="26">
      <c r="A72" s="3" t="inlineStr">
        <is>
          <t>INTERACTION</t>
        </is>
      </c>
      <c r="B72" s="3" t="inlineStr">
        <is>
          <t>PSD</t>
        </is>
      </c>
      <c r="C72" s="4" t="inlineStr">
        <is>
          <t>◐</t>
        </is>
      </c>
      <c r="D72" s="24" t="inlineStr">
        <is>
          <t>自设参数</t>
        </is>
      </c>
      <c r="E72" s="3" t="inlineStr">
        <is>
          <t>[P] 需自设：最大可接受减速度</t>
        </is>
      </c>
    </row>
    <row r="73" s="26">
      <c r="A73" s="3" t="inlineStr">
        <is>
          <t>TGSIM</t>
        </is>
      </c>
      <c r="B73" s="3" t="inlineStr">
        <is>
          <t>PSD</t>
        </is>
      </c>
      <c r="C73" s="4" t="inlineStr">
        <is>
          <t>◐</t>
        </is>
      </c>
      <c r="D73" s="24" t="inlineStr">
        <is>
          <t>自设参数</t>
        </is>
      </c>
      <c r="E73" s="3" t="inlineStr">
        <is>
          <t>[P] 需自设：最大可接受减速度</t>
        </is>
      </c>
    </row>
    <row r="74" s="26">
      <c r="A74" s="3" t="inlineStr">
        <is>
          <t>nuScenes</t>
        </is>
      </c>
      <c r="B74" s="3" t="inlineStr">
        <is>
          <t>PSD</t>
        </is>
      </c>
      <c r="C74" s="4" t="inlineStr">
        <is>
          <t>◐</t>
        </is>
      </c>
      <c r="D74" s="24" t="inlineStr">
        <is>
          <t>自设参数</t>
        </is>
      </c>
      <c r="E74" s="3" t="inlineStr">
        <is>
          <t>[P] 需自设：最大可接受减速度</t>
        </is>
      </c>
    </row>
    <row r="75" s="26">
      <c r="A75" s="3" t="inlineStr">
        <is>
          <t>Argoverse 2 传感器</t>
        </is>
      </c>
      <c r="B75" s="3" t="inlineStr">
        <is>
          <t>PSD</t>
        </is>
      </c>
      <c r="C75" s="4" t="inlineStr">
        <is>
          <t>◐</t>
        </is>
      </c>
      <c r="D75" s="24" t="inlineStr">
        <is>
          <t>自设参数</t>
        </is>
      </c>
      <c r="E75" s="3" t="inlineStr">
        <is>
          <t>[P] 需自设：最大可接受减速度</t>
        </is>
      </c>
    </row>
    <row r="76" s="26">
      <c r="A76" s="3" t="inlineStr">
        <is>
          <t>Waymo 感知</t>
        </is>
      </c>
      <c r="B76" s="3" t="inlineStr">
        <is>
          <t>PSD</t>
        </is>
      </c>
      <c r="C76" s="4" t="inlineStr">
        <is>
          <t>◐</t>
        </is>
      </c>
      <c r="D76" s="24" t="inlineStr">
        <is>
          <t>自设参数</t>
        </is>
      </c>
      <c r="E76" s="3" t="inlineStr">
        <is>
          <t>[P] 需自设：最大可接受减速度</t>
        </is>
      </c>
    </row>
    <row r="77" s="26">
      <c r="A77" s="3" t="inlineStr">
        <is>
          <t>KITTI 跟踪</t>
        </is>
      </c>
      <c r="B77" s="3" t="inlineStr">
        <is>
          <t>PSD</t>
        </is>
      </c>
      <c r="C77" s="5" t="inlineStr">
        <is>
          <t>△</t>
        </is>
      </c>
      <c r="D77" s="24" t="inlineStr">
        <is>
          <t>C7 自设参数</t>
        </is>
      </c>
      <c r="E77" s="3" t="inlineStr">
        <is>
          <t>[C7] 前后车配对：没有高精地图，只能按几何位置判断是否同车道；[P] 需自设：最大可接受减速度</t>
        </is>
      </c>
    </row>
    <row r="78" s="26">
      <c r="A78" s="3" t="inlineStr">
        <is>
          <t>PandaSet</t>
        </is>
      </c>
      <c r="B78" s="3" t="inlineStr">
        <is>
          <t>PSD</t>
        </is>
      </c>
      <c r="C78" s="5" t="inlineStr">
        <is>
          <t>△</t>
        </is>
      </c>
      <c r="D78" s="24" t="inlineStr">
        <is>
          <t>C7 自设参数</t>
        </is>
      </c>
      <c r="E78" s="3" t="inlineStr">
        <is>
          <t>[C7] 前后车配对：没有高精地图，只能按几何位置判断是否同车道；[P] 需自设：最大可接受减速度</t>
        </is>
      </c>
    </row>
    <row r="79" s="26">
      <c r="A79" s="3" t="inlineStr">
        <is>
          <t>nuPlan</t>
        </is>
      </c>
      <c r="B79" s="3" t="inlineStr">
        <is>
          <t>PSD</t>
        </is>
      </c>
      <c r="C79" s="4" t="inlineStr">
        <is>
          <t>◐</t>
        </is>
      </c>
      <c r="D79" s="24" t="inlineStr">
        <is>
          <t>自设参数</t>
        </is>
      </c>
      <c r="E79" s="3" t="inlineStr">
        <is>
          <t>[P] 需自设：最大可接受减速度</t>
        </is>
      </c>
    </row>
    <row r="80" s="26">
      <c r="A80" s="3" t="inlineStr">
        <is>
          <t>Waymo 运动预测</t>
        </is>
      </c>
      <c r="B80" s="3" t="inlineStr">
        <is>
          <t>PSD</t>
        </is>
      </c>
      <c r="C80" s="4" t="inlineStr">
        <is>
          <t>◐</t>
        </is>
      </c>
      <c r="D80" s="24" t="inlineStr">
        <is>
          <t>自设参数</t>
        </is>
      </c>
      <c r="E80" s="3" t="inlineStr">
        <is>
          <t>[P] 需自设：最大可接受减速度</t>
        </is>
      </c>
    </row>
    <row r="81" s="26">
      <c r="A81" s="3" t="inlineStr">
        <is>
          <t>DeepAccident（仿真）</t>
        </is>
      </c>
      <c r="B81" s="3" t="inlineStr">
        <is>
          <t>PSD</t>
        </is>
      </c>
      <c r="C81" s="4" t="inlineStr">
        <is>
          <t>◐</t>
        </is>
      </c>
      <c r="D81" s="24" t="inlineStr">
        <is>
          <t>自设参数</t>
        </is>
      </c>
      <c r="E81" s="3" t="inlineStr">
        <is>
          <t>[P] 需自设：最大可接受减速度</t>
        </is>
      </c>
    </row>
    <row r="82" s="26">
      <c r="A82" s="3" t="inlineStr">
        <is>
          <t>Waymo WOD-E2E</t>
        </is>
      </c>
      <c r="B82" s="3" t="inlineStr">
        <is>
          <t>PSD</t>
        </is>
      </c>
      <c r="C82" s="7" t="inlineStr">
        <is>
          <t>◇</t>
        </is>
      </c>
      <c r="D82" s="24" t="inlineStr">
        <is>
          <t>需 CV 重建</t>
        </is>
      </c>
      <c r="E82" s="3" t="inlineStr">
        <is>
          <t>数据里没有周围物体的 3D 轨迹，需先用 CV（3D 检测/单目深度）从画面重建，误差大</t>
        </is>
      </c>
    </row>
    <row r="83" s="26">
      <c r="A83" s="3" t="inlineStr">
        <is>
          <t>Nexar / DoTA / CCD</t>
        </is>
      </c>
      <c r="B83" s="3" t="inlineStr">
        <is>
          <t>PSD</t>
        </is>
      </c>
      <c r="C83" s="7" t="inlineStr">
        <is>
          <t>◇</t>
        </is>
      </c>
      <c r="D83" s="24" t="inlineStr">
        <is>
          <t>需 CV 重建</t>
        </is>
      </c>
      <c r="E83" s="3" t="inlineStr">
        <is>
          <t>数据里没有周围物体的 3D 轨迹，需先用 CV（3D 检测/单目深度）从画面重建，误差大</t>
        </is>
      </c>
    </row>
    <row r="84" s="26">
      <c r="A84" s="3" t="inlineStr">
        <is>
          <t>100-Car 公开部分</t>
        </is>
      </c>
      <c r="B84" s="3" t="inlineStr">
        <is>
          <t>PSD</t>
        </is>
      </c>
      <c r="C84" s="4" t="inlineStr">
        <is>
          <t>◐</t>
        </is>
      </c>
      <c r="D84" s="24" t="inlineStr">
        <is>
          <t>自设参数</t>
        </is>
      </c>
      <c r="E84" s="3" t="inlineStr">
        <is>
          <t>[P] 需自设：最大可接受减速度</t>
        </is>
      </c>
    </row>
    <row r="85" s="26">
      <c r="A85" s="3" t="inlineStr">
        <is>
          <t>CitySim</t>
        </is>
      </c>
      <c r="B85" s="3" t="inlineStr">
        <is>
          <t>PICUD</t>
        </is>
      </c>
      <c r="C85" s="4" t="inlineStr">
        <is>
          <t>◐</t>
        </is>
      </c>
      <c r="D85" s="24" t="inlineStr">
        <is>
          <t>自设参数</t>
        </is>
      </c>
      <c r="E85" s="3" t="inlineStr">
        <is>
          <t>[P] 需自设：反应时间、急刹减速度</t>
        </is>
      </c>
    </row>
    <row r="86" s="26">
      <c r="A86" s="3" t="inlineStr">
        <is>
          <t>NGSIM</t>
        </is>
      </c>
      <c r="B86" s="3" t="inlineStr">
        <is>
          <t>PICUD</t>
        </is>
      </c>
      <c r="C86" s="4" t="inlineStr">
        <is>
          <t>◐</t>
        </is>
      </c>
      <c r="D86" s="24" t="inlineStr">
        <is>
          <t>自设参数</t>
        </is>
      </c>
      <c r="E86" s="3" t="inlineStr">
        <is>
          <t>[P] 需自设：反应时间、急刹减速度</t>
        </is>
      </c>
    </row>
    <row r="87" s="26">
      <c r="A87" s="3" t="inlineStr">
        <is>
          <t>highD</t>
        </is>
      </c>
      <c r="B87" s="3" t="inlineStr">
        <is>
          <t>PICUD</t>
        </is>
      </c>
      <c r="C87" s="4" t="inlineStr">
        <is>
          <t>◐</t>
        </is>
      </c>
      <c r="D87" s="24" t="inlineStr">
        <is>
          <t>自设参数</t>
        </is>
      </c>
      <c r="E87" s="3" t="inlineStr">
        <is>
          <t>[P] 需自设：反应时间、急刹减速度</t>
        </is>
      </c>
    </row>
    <row r="88" s="26">
      <c r="A88" s="3" t="inlineStr">
        <is>
          <t>exiD</t>
        </is>
      </c>
      <c r="B88" s="3" t="inlineStr">
        <is>
          <t>PICUD</t>
        </is>
      </c>
      <c r="C88" s="4" t="inlineStr">
        <is>
          <t>◐</t>
        </is>
      </c>
      <c r="D88" s="24" t="inlineStr">
        <is>
          <t>自设参数</t>
        </is>
      </c>
      <c r="E88" s="3" t="inlineStr">
        <is>
          <t>[P] 需自设：反应时间、急刹减速度</t>
        </is>
      </c>
    </row>
    <row r="89" s="26">
      <c r="A89" s="3" t="inlineStr">
        <is>
          <t>inD / rounD</t>
        </is>
      </c>
      <c r="B89" s="3" t="inlineStr">
        <is>
          <t>PICUD</t>
        </is>
      </c>
      <c r="C89" s="4" t="inlineStr">
        <is>
          <t>◐</t>
        </is>
      </c>
      <c r="D89" s="24" t="inlineStr">
        <is>
          <t>自设参数</t>
        </is>
      </c>
      <c r="E89" s="3" t="inlineStr">
        <is>
          <t>[P] 需自设：反应时间、急刹减速度</t>
        </is>
      </c>
    </row>
    <row r="90" s="26">
      <c r="A90" s="3" t="inlineStr">
        <is>
          <t>SinD</t>
        </is>
      </c>
      <c r="B90" s="3" t="inlineStr">
        <is>
          <t>PICUD</t>
        </is>
      </c>
      <c r="C90" s="4" t="inlineStr">
        <is>
          <t>◐</t>
        </is>
      </c>
      <c r="D90" s="24" t="inlineStr">
        <is>
          <t>自设参数</t>
        </is>
      </c>
      <c r="E90" s="3" t="inlineStr">
        <is>
          <t>[P] 需自设：反应时间、急刹减速度</t>
        </is>
      </c>
    </row>
    <row r="91" s="26">
      <c r="A91" s="3" t="inlineStr">
        <is>
          <t>INTERACTION</t>
        </is>
      </c>
      <c r="B91" s="3" t="inlineStr">
        <is>
          <t>PICUD</t>
        </is>
      </c>
      <c r="C91" s="4" t="inlineStr">
        <is>
          <t>◐</t>
        </is>
      </c>
      <c r="D91" s="24" t="inlineStr">
        <is>
          <t>自设参数</t>
        </is>
      </c>
      <c r="E91" s="3" t="inlineStr">
        <is>
          <t>[P] 需自设：反应时间、急刹减速度</t>
        </is>
      </c>
    </row>
    <row r="92" s="26">
      <c r="A92" s="3" t="inlineStr">
        <is>
          <t>TGSIM</t>
        </is>
      </c>
      <c r="B92" s="3" t="inlineStr">
        <is>
          <t>PICUD</t>
        </is>
      </c>
      <c r="C92" s="4" t="inlineStr">
        <is>
          <t>◐</t>
        </is>
      </c>
      <c r="D92" s="24" t="inlineStr">
        <is>
          <t>自设参数</t>
        </is>
      </c>
      <c r="E92" s="3" t="inlineStr">
        <is>
          <t>[P] 需自设：反应时间、急刹减速度</t>
        </is>
      </c>
    </row>
    <row r="93" s="26">
      <c r="A93" s="3" t="inlineStr">
        <is>
          <t>nuScenes</t>
        </is>
      </c>
      <c r="B93" s="3" t="inlineStr">
        <is>
          <t>PICUD</t>
        </is>
      </c>
      <c r="C93" s="4" t="inlineStr">
        <is>
          <t>◐</t>
        </is>
      </c>
      <c r="D93" s="24" t="inlineStr">
        <is>
          <t>自设参数</t>
        </is>
      </c>
      <c r="E93" s="3" t="inlineStr">
        <is>
          <t>[P] 需自设：反应时间、急刹减速度</t>
        </is>
      </c>
    </row>
    <row r="94" s="26">
      <c r="A94" s="3" t="inlineStr">
        <is>
          <t>Argoverse 2 传感器</t>
        </is>
      </c>
      <c r="B94" s="3" t="inlineStr">
        <is>
          <t>PICUD</t>
        </is>
      </c>
      <c r="C94" s="4" t="inlineStr">
        <is>
          <t>◐</t>
        </is>
      </c>
      <c r="D94" s="24" t="inlineStr">
        <is>
          <t>自设参数</t>
        </is>
      </c>
      <c r="E94" s="3" t="inlineStr">
        <is>
          <t>[P] 需自设：反应时间、急刹减速度</t>
        </is>
      </c>
    </row>
    <row r="95" s="26">
      <c r="A95" s="3" t="inlineStr">
        <is>
          <t>Waymo 感知</t>
        </is>
      </c>
      <c r="B95" s="3" t="inlineStr">
        <is>
          <t>PICUD</t>
        </is>
      </c>
      <c r="C95" s="4" t="inlineStr">
        <is>
          <t>◐</t>
        </is>
      </c>
      <c r="D95" s="24" t="inlineStr">
        <is>
          <t>自设参数</t>
        </is>
      </c>
      <c r="E95" s="3" t="inlineStr">
        <is>
          <t>[P] 需自设：反应时间、急刹减速度</t>
        </is>
      </c>
    </row>
    <row r="96" s="26">
      <c r="A96" s="3" t="inlineStr">
        <is>
          <t>KITTI 跟踪</t>
        </is>
      </c>
      <c r="B96" s="3" t="inlineStr">
        <is>
          <t>PICUD</t>
        </is>
      </c>
      <c r="C96" s="5" t="inlineStr">
        <is>
          <t>△</t>
        </is>
      </c>
      <c r="D96" s="24" t="inlineStr">
        <is>
          <t>C7 自设参数</t>
        </is>
      </c>
      <c r="E96" s="3" t="inlineStr">
        <is>
          <t>[C7] 前后车配对：没有高精地图，只能按几何位置判断是否同车道；[P] 需自设：反应时间、急刹减速度</t>
        </is>
      </c>
    </row>
    <row r="97" s="26">
      <c r="A97" s="3" t="inlineStr">
        <is>
          <t>PandaSet</t>
        </is>
      </c>
      <c r="B97" s="3" t="inlineStr">
        <is>
          <t>PICUD</t>
        </is>
      </c>
      <c r="C97" s="5" t="inlineStr">
        <is>
          <t>△</t>
        </is>
      </c>
      <c r="D97" s="24" t="inlineStr">
        <is>
          <t>C7 自设参数</t>
        </is>
      </c>
      <c r="E97" s="3" t="inlineStr">
        <is>
          <t>[C7] 前后车配对：没有高精地图，只能按几何位置判断是否同车道；[P] 需自设：反应时间、急刹减速度</t>
        </is>
      </c>
    </row>
    <row r="98" s="26">
      <c r="A98" s="3" t="inlineStr">
        <is>
          <t>nuPlan</t>
        </is>
      </c>
      <c r="B98" s="3" t="inlineStr">
        <is>
          <t>PICUD</t>
        </is>
      </c>
      <c r="C98" s="4" t="inlineStr">
        <is>
          <t>◐</t>
        </is>
      </c>
      <c r="D98" s="24" t="inlineStr">
        <is>
          <t>自设参数</t>
        </is>
      </c>
      <c r="E98" s="3" t="inlineStr">
        <is>
          <t>[P] 需自设：反应时间、急刹减速度</t>
        </is>
      </c>
    </row>
    <row r="99" s="26">
      <c r="A99" s="3" t="inlineStr">
        <is>
          <t>Waymo 运动预测</t>
        </is>
      </c>
      <c r="B99" s="3" t="inlineStr">
        <is>
          <t>PICUD</t>
        </is>
      </c>
      <c r="C99" s="4" t="inlineStr">
        <is>
          <t>◐</t>
        </is>
      </c>
      <c r="D99" s="24" t="inlineStr">
        <is>
          <t>自设参数</t>
        </is>
      </c>
      <c r="E99" s="3" t="inlineStr">
        <is>
          <t>[P] 需自设：反应时间、急刹减速度</t>
        </is>
      </c>
    </row>
    <row r="100" s="26">
      <c r="A100" s="3" t="inlineStr">
        <is>
          <t>DeepAccident（仿真）</t>
        </is>
      </c>
      <c r="B100" s="3" t="inlineStr">
        <is>
          <t>PICUD</t>
        </is>
      </c>
      <c r="C100" s="4" t="inlineStr">
        <is>
          <t>◐</t>
        </is>
      </c>
      <c r="D100" s="24" t="inlineStr">
        <is>
          <t>自设参数</t>
        </is>
      </c>
      <c r="E100" s="3" t="inlineStr">
        <is>
          <t>[P] 需自设：反应时间、急刹减速度</t>
        </is>
      </c>
    </row>
    <row r="101" s="26">
      <c r="A101" s="3" t="inlineStr">
        <is>
          <t>Waymo WOD-E2E</t>
        </is>
      </c>
      <c r="B101" s="3" t="inlineStr">
        <is>
          <t>PICUD</t>
        </is>
      </c>
      <c r="C101" s="7" t="inlineStr">
        <is>
          <t>◇</t>
        </is>
      </c>
      <c r="D101" s="24" t="inlineStr">
        <is>
          <t>需 CV 重建</t>
        </is>
      </c>
      <c r="E101" s="3" t="inlineStr">
        <is>
          <t>数据里没有周围物体的 3D 轨迹，需先用 CV（3D 检测/单目深度）从画面重建，误差大</t>
        </is>
      </c>
    </row>
    <row r="102" s="26">
      <c r="A102" s="3" t="inlineStr">
        <is>
          <t>Nexar / DoTA / CCD</t>
        </is>
      </c>
      <c r="B102" s="3" t="inlineStr">
        <is>
          <t>PICUD</t>
        </is>
      </c>
      <c r="C102" s="7" t="inlineStr">
        <is>
          <t>◇</t>
        </is>
      </c>
      <c r="D102" s="24" t="inlineStr">
        <is>
          <t>需 CV 重建</t>
        </is>
      </c>
      <c r="E102" s="3" t="inlineStr">
        <is>
          <t>数据里没有周围物体的 3D 轨迹，需先用 CV（3D 检测/单目深度）从画面重建，误差大</t>
        </is>
      </c>
    </row>
    <row r="103" s="26">
      <c r="A103" s="3" t="inlineStr">
        <is>
          <t>100-Car 公开部分</t>
        </is>
      </c>
      <c r="B103" s="3" t="inlineStr">
        <is>
          <t>PICUD</t>
        </is>
      </c>
      <c r="C103" s="4" t="inlineStr">
        <is>
          <t>◐</t>
        </is>
      </c>
      <c r="D103" s="24" t="inlineStr">
        <is>
          <t>自设参数</t>
        </is>
      </c>
      <c r="E103" s="3" t="inlineStr">
        <is>
          <t>[P] 需自设：反应时间、急刹减速度</t>
        </is>
      </c>
    </row>
    <row r="104" s="26">
      <c r="A104" s="3" t="inlineStr">
        <is>
          <t>CitySim</t>
        </is>
      </c>
      <c r="B104" s="3" t="inlineStr">
        <is>
          <t>DST</t>
        </is>
      </c>
      <c r="C104" s="4" t="inlineStr">
        <is>
          <t>◐</t>
        </is>
      </c>
      <c r="D104" s="24" t="inlineStr">
        <is>
          <t>自设参数</t>
        </is>
      </c>
      <c r="E104" s="3" t="inlineStr">
        <is>
          <t>[P] 需自设：安全时距（NHTSA 那篇用 1.4 秒）</t>
        </is>
      </c>
    </row>
    <row r="105" s="26">
      <c r="A105" s="3" t="inlineStr">
        <is>
          <t>NGSIM</t>
        </is>
      </c>
      <c r="B105" s="3" t="inlineStr">
        <is>
          <t>DST</t>
        </is>
      </c>
      <c r="C105" s="4" t="inlineStr">
        <is>
          <t>◐</t>
        </is>
      </c>
      <c r="D105" s="24" t="inlineStr">
        <is>
          <t>自设参数</t>
        </is>
      </c>
      <c r="E105" s="3" t="inlineStr">
        <is>
          <t>[P] 需自设：安全时距（NHTSA 那篇用 1.4 秒）</t>
        </is>
      </c>
    </row>
    <row r="106" s="26">
      <c r="A106" s="3" t="inlineStr">
        <is>
          <t>highD</t>
        </is>
      </c>
      <c r="B106" s="3" t="inlineStr">
        <is>
          <t>DST</t>
        </is>
      </c>
      <c r="C106" s="4" t="inlineStr">
        <is>
          <t>◐</t>
        </is>
      </c>
      <c r="D106" s="24" t="inlineStr">
        <is>
          <t>自设参数</t>
        </is>
      </c>
      <c r="E106" s="3" t="inlineStr">
        <is>
          <t>[P] 需自设：安全时距（NHTSA 那篇用 1.4 秒）</t>
        </is>
      </c>
    </row>
    <row r="107" s="26">
      <c r="A107" s="3" t="inlineStr">
        <is>
          <t>exiD</t>
        </is>
      </c>
      <c r="B107" s="3" t="inlineStr">
        <is>
          <t>DST</t>
        </is>
      </c>
      <c r="C107" s="4" t="inlineStr">
        <is>
          <t>◐</t>
        </is>
      </c>
      <c r="D107" s="24" t="inlineStr">
        <is>
          <t>自设参数</t>
        </is>
      </c>
      <c r="E107" s="3" t="inlineStr">
        <is>
          <t>[P] 需自设：安全时距（NHTSA 那篇用 1.4 秒）</t>
        </is>
      </c>
    </row>
    <row r="108" s="26">
      <c r="A108" s="3" t="inlineStr">
        <is>
          <t>inD / rounD</t>
        </is>
      </c>
      <c r="B108" s="3" t="inlineStr">
        <is>
          <t>DST</t>
        </is>
      </c>
      <c r="C108" s="4" t="inlineStr">
        <is>
          <t>◐</t>
        </is>
      </c>
      <c r="D108" s="24" t="inlineStr">
        <is>
          <t>自设参数</t>
        </is>
      </c>
      <c r="E108" s="3" t="inlineStr">
        <is>
          <t>[P] 需自设：安全时距（NHTSA 那篇用 1.4 秒）</t>
        </is>
      </c>
    </row>
    <row r="109" s="26">
      <c r="A109" s="3" t="inlineStr">
        <is>
          <t>SinD</t>
        </is>
      </c>
      <c r="B109" s="3" t="inlineStr">
        <is>
          <t>DST</t>
        </is>
      </c>
      <c r="C109" s="4" t="inlineStr">
        <is>
          <t>◐</t>
        </is>
      </c>
      <c r="D109" s="24" t="inlineStr">
        <is>
          <t>自设参数</t>
        </is>
      </c>
      <c r="E109" s="3" t="inlineStr">
        <is>
          <t>[P] 需自设：安全时距（NHTSA 那篇用 1.4 秒）</t>
        </is>
      </c>
    </row>
    <row r="110" s="26">
      <c r="A110" s="3" t="inlineStr">
        <is>
          <t>INTERACTION</t>
        </is>
      </c>
      <c r="B110" s="3" t="inlineStr">
        <is>
          <t>DST</t>
        </is>
      </c>
      <c r="C110" s="4" t="inlineStr">
        <is>
          <t>◐</t>
        </is>
      </c>
      <c r="D110" s="24" t="inlineStr">
        <is>
          <t>自设参数</t>
        </is>
      </c>
      <c r="E110" s="3" t="inlineStr">
        <is>
          <t>[P] 需自设：安全时距（NHTSA 那篇用 1.4 秒）</t>
        </is>
      </c>
    </row>
    <row r="111" s="26">
      <c r="A111" s="3" t="inlineStr">
        <is>
          <t>TGSIM</t>
        </is>
      </c>
      <c r="B111" s="3" t="inlineStr">
        <is>
          <t>DST</t>
        </is>
      </c>
      <c r="C111" s="4" t="inlineStr">
        <is>
          <t>◐</t>
        </is>
      </c>
      <c r="D111" s="24" t="inlineStr">
        <is>
          <t>自设参数</t>
        </is>
      </c>
      <c r="E111" s="3" t="inlineStr">
        <is>
          <t>[P] 需自设：安全时距（NHTSA 那篇用 1.4 秒）</t>
        </is>
      </c>
    </row>
    <row r="112" s="26">
      <c r="A112" s="3" t="inlineStr">
        <is>
          <t>nuScenes</t>
        </is>
      </c>
      <c r="B112" s="3" t="inlineStr">
        <is>
          <t>DST</t>
        </is>
      </c>
      <c r="C112" s="4" t="inlineStr">
        <is>
          <t>◐</t>
        </is>
      </c>
      <c r="D112" s="24" t="inlineStr">
        <is>
          <t>自设参数</t>
        </is>
      </c>
      <c r="E112" s="3" t="inlineStr">
        <is>
          <t>[P] 需自设：安全时距（NHTSA 那篇用 1.4 秒）</t>
        </is>
      </c>
    </row>
    <row r="113" s="26">
      <c r="A113" s="3" t="inlineStr">
        <is>
          <t>Argoverse 2 传感器</t>
        </is>
      </c>
      <c r="B113" s="3" t="inlineStr">
        <is>
          <t>DST</t>
        </is>
      </c>
      <c r="C113" s="4" t="inlineStr">
        <is>
          <t>◐</t>
        </is>
      </c>
      <c r="D113" s="24" t="inlineStr">
        <is>
          <t>自设参数</t>
        </is>
      </c>
      <c r="E113" s="3" t="inlineStr">
        <is>
          <t>[P] 需自设：安全时距（NHTSA 那篇用 1.4 秒）</t>
        </is>
      </c>
    </row>
    <row r="114" s="26">
      <c r="A114" s="3" t="inlineStr">
        <is>
          <t>Waymo 感知</t>
        </is>
      </c>
      <c r="B114" s="3" t="inlineStr">
        <is>
          <t>DST</t>
        </is>
      </c>
      <c r="C114" s="4" t="inlineStr">
        <is>
          <t>◐</t>
        </is>
      </c>
      <c r="D114" s="24" t="inlineStr">
        <is>
          <t>自设参数</t>
        </is>
      </c>
      <c r="E114" s="3" t="inlineStr">
        <is>
          <t>[P] 需自设：安全时距（NHTSA 那篇用 1.4 秒）</t>
        </is>
      </c>
    </row>
    <row r="115" s="26">
      <c r="A115" s="3" t="inlineStr">
        <is>
          <t>KITTI 跟踪</t>
        </is>
      </c>
      <c r="B115" s="3" t="inlineStr">
        <is>
          <t>DST</t>
        </is>
      </c>
      <c r="C115" s="5" t="inlineStr">
        <is>
          <t>△</t>
        </is>
      </c>
      <c r="D115" s="24" t="inlineStr">
        <is>
          <t>C7 自设参数</t>
        </is>
      </c>
      <c r="E115" s="3" t="inlineStr">
        <is>
          <t>[C7] 前后车配对：没有高精地图，只能按几何位置判断是否同车道；[P] 需自设：安全时距（NHTSA 那篇用 1.4 秒）</t>
        </is>
      </c>
    </row>
    <row r="116" s="26">
      <c r="A116" s="3" t="inlineStr">
        <is>
          <t>PandaSet</t>
        </is>
      </c>
      <c r="B116" s="3" t="inlineStr">
        <is>
          <t>DST</t>
        </is>
      </c>
      <c r="C116" s="5" t="inlineStr">
        <is>
          <t>△</t>
        </is>
      </c>
      <c r="D116" s="24" t="inlineStr">
        <is>
          <t>C7 自设参数</t>
        </is>
      </c>
      <c r="E116" s="3" t="inlineStr">
        <is>
          <t>[C7] 前后车配对：没有高精地图，只能按几何位置判断是否同车道；[P] 需自设：安全时距（NHTSA 那篇用 1.4 秒）</t>
        </is>
      </c>
    </row>
    <row r="117" s="26">
      <c r="A117" s="3" t="inlineStr">
        <is>
          <t>nuPlan</t>
        </is>
      </c>
      <c r="B117" s="3" t="inlineStr">
        <is>
          <t>DST</t>
        </is>
      </c>
      <c r="C117" s="4" t="inlineStr">
        <is>
          <t>◐</t>
        </is>
      </c>
      <c r="D117" s="24" t="inlineStr">
        <is>
          <t>自设参数</t>
        </is>
      </c>
      <c r="E117" s="3" t="inlineStr">
        <is>
          <t>[P] 需自设：安全时距（NHTSA 那篇用 1.4 秒）</t>
        </is>
      </c>
    </row>
    <row r="118" s="26">
      <c r="A118" s="3" t="inlineStr">
        <is>
          <t>Waymo 运动预测</t>
        </is>
      </c>
      <c r="B118" s="3" t="inlineStr">
        <is>
          <t>DST</t>
        </is>
      </c>
      <c r="C118" s="4" t="inlineStr">
        <is>
          <t>◐</t>
        </is>
      </c>
      <c r="D118" s="24" t="inlineStr">
        <is>
          <t>自设参数</t>
        </is>
      </c>
      <c r="E118" s="3" t="inlineStr">
        <is>
          <t>[P] 需自设：安全时距（NHTSA 那篇用 1.4 秒）</t>
        </is>
      </c>
    </row>
    <row r="119" s="26">
      <c r="A119" s="3" t="inlineStr">
        <is>
          <t>DeepAccident（仿真）</t>
        </is>
      </c>
      <c r="B119" s="3" t="inlineStr">
        <is>
          <t>DST</t>
        </is>
      </c>
      <c r="C119" s="4" t="inlineStr">
        <is>
          <t>◐</t>
        </is>
      </c>
      <c r="D119" s="24" t="inlineStr">
        <is>
          <t>自设参数</t>
        </is>
      </c>
      <c r="E119" s="3" t="inlineStr">
        <is>
          <t>[P] 需自设：安全时距（NHTSA 那篇用 1.4 秒）</t>
        </is>
      </c>
    </row>
    <row r="120" s="26">
      <c r="A120" s="3" t="inlineStr">
        <is>
          <t>Waymo WOD-E2E</t>
        </is>
      </c>
      <c r="B120" s="3" t="inlineStr">
        <is>
          <t>DST</t>
        </is>
      </c>
      <c r="C120" s="7" t="inlineStr">
        <is>
          <t>◇</t>
        </is>
      </c>
      <c r="D120" s="24" t="inlineStr">
        <is>
          <t>需 CV 重建</t>
        </is>
      </c>
      <c r="E120" s="3" t="inlineStr">
        <is>
          <t>数据里没有周围物体的 3D 轨迹，需先用 CV（3D 检测/单目深度）从画面重建，误差大</t>
        </is>
      </c>
    </row>
    <row r="121" s="26">
      <c r="A121" s="3" t="inlineStr">
        <is>
          <t>Nexar / DoTA / CCD</t>
        </is>
      </c>
      <c r="B121" s="3" t="inlineStr">
        <is>
          <t>DST</t>
        </is>
      </c>
      <c r="C121" s="7" t="inlineStr">
        <is>
          <t>◇</t>
        </is>
      </c>
      <c r="D121" s="24" t="inlineStr">
        <is>
          <t>需 CV 重建</t>
        </is>
      </c>
      <c r="E121" s="3" t="inlineStr">
        <is>
          <t>数据里没有周围物体的 3D 轨迹，需先用 CV（3D 检测/单目深度）从画面重建，误差大</t>
        </is>
      </c>
    </row>
    <row r="122" s="26">
      <c r="A122" s="3" t="inlineStr">
        <is>
          <t>100-Car 公开部分</t>
        </is>
      </c>
      <c r="B122" s="3" t="inlineStr">
        <is>
          <t>DST</t>
        </is>
      </c>
      <c r="C122" s="4" t="inlineStr">
        <is>
          <t>◐</t>
        </is>
      </c>
      <c r="D122" s="24" t="inlineStr">
        <is>
          <t>自设参数</t>
        </is>
      </c>
      <c r="E122" s="3" t="inlineStr">
        <is>
          <t>[P] 需自设：安全时距（NHTSA 那篇用 1.4 秒）</t>
        </is>
      </c>
    </row>
    <row r="123" s="26">
      <c r="A123" s="3" t="inlineStr">
        <is>
          <t>CitySim</t>
        </is>
      </c>
      <c r="B123" s="3" t="inlineStr">
        <is>
          <t>CPI</t>
        </is>
      </c>
      <c r="C123" s="4" t="inlineStr">
        <is>
          <t>◐</t>
        </is>
      </c>
      <c r="D123" s="24" t="inlineStr">
        <is>
          <t>自设参数</t>
        </is>
      </c>
      <c r="E123" s="3" t="inlineStr">
        <is>
          <t>[P] 需自设：车辆最大可用减速度的分布</t>
        </is>
      </c>
    </row>
    <row r="124" s="26">
      <c r="A124" s="3" t="inlineStr">
        <is>
          <t>NGSIM</t>
        </is>
      </c>
      <c r="B124" s="3" t="inlineStr">
        <is>
          <t>CPI</t>
        </is>
      </c>
      <c r="C124" s="4" t="inlineStr">
        <is>
          <t>◐</t>
        </is>
      </c>
      <c r="D124" s="24" t="inlineStr">
        <is>
          <t>自设参数</t>
        </is>
      </c>
      <c r="E124" s="3" t="inlineStr">
        <is>
          <t>[P] 需自设：车辆最大可用减速度的分布</t>
        </is>
      </c>
    </row>
    <row r="125" s="26">
      <c r="A125" s="3" t="inlineStr">
        <is>
          <t>highD</t>
        </is>
      </c>
      <c r="B125" s="3" t="inlineStr">
        <is>
          <t>CPI</t>
        </is>
      </c>
      <c r="C125" s="4" t="inlineStr">
        <is>
          <t>◐</t>
        </is>
      </c>
      <c r="D125" s="24" t="inlineStr">
        <is>
          <t>自设参数</t>
        </is>
      </c>
      <c r="E125" s="3" t="inlineStr">
        <is>
          <t>[P] 需自设：车辆最大可用减速度的分布</t>
        </is>
      </c>
    </row>
    <row r="126" s="26">
      <c r="A126" s="3" t="inlineStr">
        <is>
          <t>exiD</t>
        </is>
      </c>
      <c r="B126" s="3" t="inlineStr">
        <is>
          <t>CPI</t>
        </is>
      </c>
      <c r="C126" s="4" t="inlineStr">
        <is>
          <t>◐</t>
        </is>
      </c>
      <c r="D126" s="24" t="inlineStr">
        <is>
          <t>自设参数</t>
        </is>
      </c>
      <c r="E126" s="3" t="inlineStr">
        <is>
          <t>[P] 需自设：车辆最大可用减速度的分布</t>
        </is>
      </c>
    </row>
    <row r="127" s="26">
      <c r="A127" s="3" t="inlineStr">
        <is>
          <t>inD / rounD</t>
        </is>
      </c>
      <c r="B127" s="3" t="inlineStr">
        <is>
          <t>CPI</t>
        </is>
      </c>
      <c r="C127" s="4" t="inlineStr">
        <is>
          <t>◐</t>
        </is>
      </c>
      <c r="D127" s="24" t="inlineStr">
        <is>
          <t>自设参数</t>
        </is>
      </c>
      <c r="E127" s="3" t="inlineStr">
        <is>
          <t>[P] 需自设：车辆最大可用减速度的分布</t>
        </is>
      </c>
    </row>
    <row r="128" s="26">
      <c r="A128" s="3" t="inlineStr">
        <is>
          <t>SinD</t>
        </is>
      </c>
      <c r="B128" s="3" t="inlineStr">
        <is>
          <t>CPI</t>
        </is>
      </c>
      <c r="C128" s="4" t="inlineStr">
        <is>
          <t>◐</t>
        </is>
      </c>
      <c r="D128" s="24" t="inlineStr">
        <is>
          <t>自设参数</t>
        </is>
      </c>
      <c r="E128" s="3" t="inlineStr">
        <is>
          <t>[P] 需自设：车辆最大可用减速度的分布</t>
        </is>
      </c>
    </row>
    <row r="129" s="26">
      <c r="A129" s="3" t="inlineStr">
        <is>
          <t>INTERACTION</t>
        </is>
      </c>
      <c r="B129" s="3" t="inlineStr">
        <is>
          <t>CPI</t>
        </is>
      </c>
      <c r="C129" s="4" t="inlineStr">
        <is>
          <t>◐</t>
        </is>
      </c>
      <c r="D129" s="24" t="inlineStr">
        <is>
          <t>自设参数</t>
        </is>
      </c>
      <c r="E129" s="3" t="inlineStr">
        <is>
          <t>[P] 需自设：车辆最大可用减速度的分布</t>
        </is>
      </c>
    </row>
    <row r="130" s="26">
      <c r="A130" s="3" t="inlineStr">
        <is>
          <t>TGSIM</t>
        </is>
      </c>
      <c r="B130" s="3" t="inlineStr">
        <is>
          <t>CPI</t>
        </is>
      </c>
      <c r="C130" s="4" t="inlineStr">
        <is>
          <t>◐</t>
        </is>
      </c>
      <c r="D130" s="24" t="inlineStr">
        <is>
          <t>自设参数</t>
        </is>
      </c>
      <c r="E130" s="3" t="inlineStr">
        <is>
          <t>[P] 需自设：车辆最大可用减速度的分布</t>
        </is>
      </c>
    </row>
    <row r="131" s="26">
      <c r="A131" s="3" t="inlineStr">
        <is>
          <t>nuScenes</t>
        </is>
      </c>
      <c r="B131" s="3" t="inlineStr">
        <is>
          <t>CPI</t>
        </is>
      </c>
      <c r="C131" s="5" t="inlineStr">
        <is>
          <t>△</t>
        </is>
      </c>
      <c r="D131" s="24" t="inlineStr">
        <is>
          <t>C8 自设参数</t>
        </is>
      </c>
      <c r="E131" s="3" t="inlineStr">
        <is>
          <t>[C8] 连续时间序列：累计量要先把 TTC 插值到更高频率；每段只有 20 秒；[P] 需自设：车辆最大可用减速度的分布</t>
        </is>
      </c>
    </row>
    <row r="132" s="26">
      <c r="A132" s="3" t="inlineStr">
        <is>
          <t>Argoverse 2 传感器</t>
        </is>
      </c>
      <c r="B132" s="3" t="inlineStr">
        <is>
          <t>CPI</t>
        </is>
      </c>
      <c r="C132" s="5" t="inlineStr">
        <is>
          <t>△</t>
        </is>
      </c>
      <c r="D132" s="24" t="inlineStr">
        <is>
          <t>C5 自设参数</t>
        </is>
      </c>
      <c r="E132" s="3" t="inlineStr">
        <is>
          <t>[C5] 连续时间序列：每段较短；[P] 需自设：车辆最大可用减速度的分布</t>
        </is>
      </c>
    </row>
    <row r="133" s="26">
      <c r="A133" s="3" t="inlineStr">
        <is>
          <t>Waymo 感知</t>
        </is>
      </c>
      <c r="B133" s="3" t="inlineStr">
        <is>
          <t>CPI</t>
        </is>
      </c>
      <c r="C133" s="5" t="inlineStr">
        <is>
          <t>△</t>
        </is>
      </c>
      <c r="D133" s="24" t="inlineStr">
        <is>
          <t>C5 自设参数</t>
        </is>
      </c>
      <c r="E133" s="3" t="inlineStr">
        <is>
          <t>[C5] 连续时间序列：每段 20 秒；[P] 需自设：车辆最大可用减速度的分布</t>
        </is>
      </c>
    </row>
    <row r="134" s="26">
      <c r="A134" s="3" t="inlineStr">
        <is>
          <t>KITTI 跟踪</t>
        </is>
      </c>
      <c r="B134" s="3" t="inlineStr">
        <is>
          <t>CPI</t>
        </is>
      </c>
      <c r="C134" s="5" t="inlineStr">
        <is>
          <t>△</t>
        </is>
      </c>
      <c r="D134" s="24" t="inlineStr">
        <is>
          <t>C7 C5 自设参数</t>
        </is>
      </c>
      <c r="E134" s="3" t="inlineStr">
        <is>
          <t>[C7] 前后车配对：没有高精地图，只能按几何位置判断是否同车道；[C5] 连续时间序列：序列较短；[P] 需自设：车辆最大可用减速度的分布</t>
        </is>
      </c>
    </row>
    <row r="135" ht="24.9" customHeight="1" s="26">
      <c r="A135" s="3" t="inlineStr">
        <is>
          <t>PandaSet</t>
        </is>
      </c>
      <c r="B135" s="3" t="inlineStr">
        <is>
          <t>CPI</t>
        </is>
      </c>
      <c r="C135" s="5" t="inlineStr">
        <is>
          <t>△</t>
        </is>
      </c>
      <c r="D135" s="24" t="inlineStr">
        <is>
          <t>C7 C5 自设参数</t>
        </is>
      </c>
      <c r="E135" s="3" t="inlineStr">
        <is>
          <t>[C7] 前后车配对：没有高精地图，只能按几何位置判断是否同车道；[C5] 连续时间序列：每段只有 8 秒；[P] 需自设：车辆最大可用减速度的分布</t>
        </is>
      </c>
    </row>
    <row r="136" ht="24.9" customHeight="1" s="26">
      <c r="A136" s="3" t="inlineStr">
        <is>
          <t>nuPlan</t>
        </is>
      </c>
      <c r="B136" s="3" t="inlineStr">
        <is>
          <t>CPI</t>
        </is>
      </c>
      <c r="C136" s="4" t="inlineStr">
        <is>
          <t>◐</t>
        </is>
      </c>
      <c r="D136" s="24" t="inlineStr">
        <is>
          <t>自设参数</t>
        </is>
      </c>
      <c r="E136" s="3" t="inlineStr">
        <is>
          <t>[P] 需自设：车辆最大可用减速度的分布</t>
        </is>
      </c>
    </row>
    <row r="137" s="26">
      <c r="A137" s="3" t="inlineStr">
        <is>
          <t>Waymo 运动预测</t>
        </is>
      </c>
      <c r="B137" s="3" t="inlineStr">
        <is>
          <t>CPI</t>
        </is>
      </c>
      <c r="C137" s="5" t="inlineStr">
        <is>
          <t>△</t>
        </is>
      </c>
      <c r="D137" s="24" t="inlineStr">
        <is>
          <t>C5 自设参数</t>
        </is>
      </c>
      <c r="E137" s="3" t="inlineStr">
        <is>
          <t>[C5] 连续时间序列：每个场景较短；[P] 需自设：车辆最大可用减速度的分布</t>
        </is>
      </c>
    </row>
    <row r="138" s="26">
      <c r="A138" s="3" t="inlineStr">
        <is>
          <t>DeepAccident（仿真）</t>
        </is>
      </c>
      <c r="B138" s="3" t="inlineStr">
        <is>
          <t>CPI</t>
        </is>
      </c>
      <c r="C138" s="4" t="inlineStr">
        <is>
          <t>◐</t>
        </is>
      </c>
      <c r="D138" s="24" t="inlineStr">
        <is>
          <t>自设参数</t>
        </is>
      </c>
      <c r="E138" s="3" t="inlineStr">
        <is>
          <t>[P] 需自设：车辆最大可用减速度的分布</t>
        </is>
      </c>
    </row>
    <row r="139" s="26">
      <c r="A139" s="3" t="inlineStr">
        <is>
          <t>Waymo WOD-E2E</t>
        </is>
      </c>
      <c r="B139" s="3" t="inlineStr">
        <is>
          <t>CPI</t>
        </is>
      </c>
      <c r="C139" s="7" t="inlineStr">
        <is>
          <t>◇</t>
        </is>
      </c>
      <c r="D139" s="24" t="inlineStr">
        <is>
          <t>需 CV 重建</t>
        </is>
      </c>
      <c r="E139" s="3" t="inlineStr">
        <is>
          <t>数据里没有周围物体的 3D 轨迹，需先用 CV（3D 检测/单目深度）从画面重建，误差大</t>
        </is>
      </c>
    </row>
    <row r="140" s="26">
      <c r="A140" s="3" t="inlineStr">
        <is>
          <t>Nexar / DoTA / CCD</t>
        </is>
      </c>
      <c r="B140" s="3" t="inlineStr">
        <is>
          <t>CPI</t>
        </is>
      </c>
      <c r="C140" s="7" t="inlineStr">
        <is>
          <t>◇</t>
        </is>
      </c>
      <c r="D140" s="24" t="inlineStr">
        <is>
          <t>需 CV 重建</t>
        </is>
      </c>
      <c r="E140" s="3" t="inlineStr">
        <is>
          <t>数据里没有周围物体的 3D 轨迹，需先用 CV（3D 检测/单目深度）从画面重建，误差大</t>
        </is>
      </c>
    </row>
    <row r="141" s="26">
      <c r="A141" s="3" t="inlineStr">
        <is>
          <t>100-Car 公开部分</t>
        </is>
      </c>
      <c r="B141" s="3" t="inlineStr">
        <is>
          <t>CPI</t>
        </is>
      </c>
      <c r="C141" s="4" t="inlineStr">
        <is>
          <t>◐</t>
        </is>
      </c>
      <c r="D141" s="24" t="inlineStr">
        <is>
          <t>自设参数</t>
        </is>
      </c>
      <c r="E141" s="3" t="inlineStr">
        <is>
          <t>[P] 需自设：车辆最大可用减速度的分布</t>
        </is>
      </c>
    </row>
    <row r="142" s="26">
      <c r="A142" s="3" t="inlineStr">
        <is>
          <t>CitySim</t>
        </is>
      </c>
      <c r="B142" s="3" t="inlineStr">
        <is>
          <t>RCRI</t>
        </is>
      </c>
      <c r="C142" s="4" t="inlineStr">
        <is>
          <t>◐</t>
        </is>
      </c>
      <c r="D142" s="24" t="inlineStr">
        <is>
          <t>自设参数</t>
        </is>
      </c>
      <c r="E142" s="3" t="inlineStr">
        <is>
          <t>[P] 需自设：反应时间、减速度</t>
        </is>
      </c>
    </row>
    <row r="143" s="26">
      <c r="A143" s="3" t="inlineStr">
        <is>
          <t>NGSIM</t>
        </is>
      </c>
      <c r="B143" s="3" t="inlineStr">
        <is>
          <t>RCRI</t>
        </is>
      </c>
      <c r="C143" s="4" t="inlineStr">
        <is>
          <t>◐</t>
        </is>
      </c>
      <c r="D143" s="24" t="inlineStr">
        <is>
          <t>自设参数</t>
        </is>
      </c>
      <c r="E143" s="3" t="inlineStr">
        <is>
          <t>[P] 需自设：反应时间、减速度</t>
        </is>
      </c>
    </row>
    <row r="144" s="26">
      <c r="A144" s="3" t="inlineStr">
        <is>
          <t>highD</t>
        </is>
      </c>
      <c r="B144" s="3" t="inlineStr">
        <is>
          <t>RCRI</t>
        </is>
      </c>
      <c r="C144" s="4" t="inlineStr">
        <is>
          <t>◐</t>
        </is>
      </c>
      <c r="D144" s="24" t="inlineStr">
        <is>
          <t>自设参数</t>
        </is>
      </c>
      <c r="E144" s="3" t="inlineStr">
        <is>
          <t>[P] 需自设：反应时间、减速度</t>
        </is>
      </c>
    </row>
    <row r="145" s="26">
      <c r="A145" s="3" t="inlineStr">
        <is>
          <t>exiD</t>
        </is>
      </c>
      <c r="B145" s="3" t="inlineStr">
        <is>
          <t>RCRI</t>
        </is>
      </c>
      <c r="C145" s="4" t="inlineStr">
        <is>
          <t>◐</t>
        </is>
      </c>
      <c r="D145" s="24" t="inlineStr">
        <is>
          <t>自设参数</t>
        </is>
      </c>
      <c r="E145" s="3" t="inlineStr">
        <is>
          <t>[P] 需自设：反应时间、减速度</t>
        </is>
      </c>
    </row>
    <row r="146" s="26">
      <c r="A146" s="3" t="inlineStr">
        <is>
          <t>inD / rounD</t>
        </is>
      </c>
      <c r="B146" s="3" t="inlineStr">
        <is>
          <t>RCRI</t>
        </is>
      </c>
      <c r="C146" s="4" t="inlineStr">
        <is>
          <t>◐</t>
        </is>
      </c>
      <c r="D146" s="24" t="inlineStr">
        <is>
          <t>自设参数</t>
        </is>
      </c>
      <c r="E146" s="3" t="inlineStr">
        <is>
          <t>[P] 需自设：反应时间、减速度</t>
        </is>
      </c>
    </row>
    <row r="147" s="26">
      <c r="A147" s="3" t="inlineStr">
        <is>
          <t>SinD</t>
        </is>
      </c>
      <c r="B147" s="3" t="inlineStr">
        <is>
          <t>RCRI</t>
        </is>
      </c>
      <c r="C147" s="4" t="inlineStr">
        <is>
          <t>◐</t>
        </is>
      </c>
      <c r="D147" s="24" t="inlineStr">
        <is>
          <t>自设参数</t>
        </is>
      </c>
      <c r="E147" s="3" t="inlineStr">
        <is>
          <t>[P] 需自设：反应时间、减速度</t>
        </is>
      </c>
    </row>
    <row r="148" s="26">
      <c r="A148" s="3" t="inlineStr">
        <is>
          <t>INTERACTION</t>
        </is>
      </c>
      <c r="B148" s="3" t="inlineStr">
        <is>
          <t>RCRI</t>
        </is>
      </c>
      <c r="C148" s="4" t="inlineStr">
        <is>
          <t>◐</t>
        </is>
      </c>
      <c r="D148" s="24" t="inlineStr">
        <is>
          <t>自设参数</t>
        </is>
      </c>
      <c r="E148" s="3" t="inlineStr">
        <is>
          <t>[P] 需自设：反应时间、减速度</t>
        </is>
      </c>
    </row>
    <row r="149" s="26">
      <c r="A149" s="3" t="inlineStr">
        <is>
          <t>TGSIM</t>
        </is>
      </c>
      <c r="B149" s="3" t="inlineStr">
        <is>
          <t>RCRI</t>
        </is>
      </c>
      <c r="C149" s="4" t="inlineStr">
        <is>
          <t>◐</t>
        </is>
      </c>
      <c r="D149" s="24" t="inlineStr">
        <is>
          <t>自设参数</t>
        </is>
      </c>
      <c r="E149" s="3" t="inlineStr">
        <is>
          <t>[P] 需自设：反应时间、减速度</t>
        </is>
      </c>
    </row>
    <row r="150" s="26">
      <c r="A150" s="3" t="inlineStr">
        <is>
          <t>nuScenes</t>
        </is>
      </c>
      <c r="B150" s="3" t="inlineStr">
        <is>
          <t>RCRI</t>
        </is>
      </c>
      <c r="C150" s="4" t="inlineStr">
        <is>
          <t>◐</t>
        </is>
      </c>
      <c r="D150" s="24" t="inlineStr">
        <is>
          <t>自设参数</t>
        </is>
      </c>
      <c r="E150" s="3" t="inlineStr">
        <is>
          <t>[P] 需自设：反应时间、减速度</t>
        </is>
      </c>
    </row>
    <row r="151" s="26">
      <c r="A151" s="3" t="inlineStr">
        <is>
          <t>Argoverse 2 传感器</t>
        </is>
      </c>
      <c r="B151" s="3" t="inlineStr">
        <is>
          <t>RCRI</t>
        </is>
      </c>
      <c r="C151" s="4" t="inlineStr">
        <is>
          <t>◐</t>
        </is>
      </c>
      <c r="D151" s="24" t="inlineStr">
        <is>
          <t>自设参数</t>
        </is>
      </c>
      <c r="E151" s="3" t="inlineStr">
        <is>
          <t>[P] 需自设：反应时间、减速度</t>
        </is>
      </c>
    </row>
    <row r="152" s="26">
      <c r="A152" s="3" t="inlineStr">
        <is>
          <t>Waymo 感知</t>
        </is>
      </c>
      <c r="B152" s="3" t="inlineStr">
        <is>
          <t>RCRI</t>
        </is>
      </c>
      <c r="C152" s="4" t="inlineStr">
        <is>
          <t>◐</t>
        </is>
      </c>
      <c r="D152" s="24" t="inlineStr">
        <is>
          <t>自设参数</t>
        </is>
      </c>
      <c r="E152" s="3" t="inlineStr">
        <is>
          <t>[P] 需自设：反应时间、减速度</t>
        </is>
      </c>
    </row>
    <row r="153" s="26">
      <c r="A153" s="3" t="inlineStr">
        <is>
          <t>KITTI 跟踪</t>
        </is>
      </c>
      <c r="B153" s="3" t="inlineStr">
        <is>
          <t>RCRI</t>
        </is>
      </c>
      <c r="C153" s="5" t="inlineStr">
        <is>
          <t>△</t>
        </is>
      </c>
      <c r="D153" s="24" t="inlineStr">
        <is>
          <t>C7 自设参数</t>
        </is>
      </c>
      <c r="E153" s="3" t="inlineStr">
        <is>
          <t>[C7] 前后车配对：没有高精地图，只能按几何位置判断是否同车道；[P] 需自设：反应时间、减速度</t>
        </is>
      </c>
    </row>
    <row r="154" s="26">
      <c r="A154" s="3" t="inlineStr">
        <is>
          <t>PandaSet</t>
        </is>
      </c>
      <c r="B154" s="3" t="inlineStr">
        <is>
          <t>RCRI</t>
        </is>
      </c>
      <c r="C154" s="5" t="inlineStr">
        <is>
          <t>△</t>
        </is>
      </c>
      <c r="D154" s="24" t="inlineStr">
        <is>
          <t>C7 自设参数</t>
        </is>
      </c>
      <c r="E154" s="3" t="inlineStr">
        <is>
          <t>[C7] 前后车配对：没有高精地图，只能按几何位置判断是否同车道；[P] 需自设：反应时间、减速度</t>
        </is>
      </c>
    </row>
    <row r="155" s="26">
      <c r="A155" s="3" t="inlineStr">
        <is>
          <t>nuPlan</t>
        </is>
      </c>
      <c r="B155" s="3" t="inlineStr">
        <is>
          <t>RCRI</t>
        </is>
      </c>
      <c r="C155" s="4" t="inlineStr">
        <is>
          <t>◐</t>
        </is>
      </c>
      <c r="D155" s="24" t="inlineStr">
        <is>
          <t>自设参数</t>
        </is>
      </c>
      <c r="E155" s="3" t="inlineStr">
        <is>
          <t>[P] 需自设：反应时间、减速度</t>
        </is>
      </c>
    </row>
    <row r="156" s="26">
      <c r="A156" s="3" t="inlineStr">
        <is>
          <t>Waymo 运动预测</t>
        </is>
      </c>
      <c r="B156" s="3" t="inlineStr">
        <is>
          <t>RCRI</t>
        </is>
      </c>
      <c r="C156" s="4" t="inlineStr">
        <is>
          <t>◐</t>
        </is>
      </c>
      <c r="D156" s="24" t="inlineStr">
        <is>
          <t>自设参数</t>
        </is>
      </c>
      <c r="E156" s="3" t="inlineStr">
        <is>
          <t>[P] 需自设：反应时间、减速度</t>
        </is>
      </c>
    </row>
    <row r="157" s="26">
      <c r="A157" s="3" t="inlineStr">
        <is>
          <t>DeepAccident（仿真）</t>
        </is>
      </c>
      <c r="B157" s="3" t="inlineStr">
        <is>
          <t>RCRI</t>
        </is>
      </c>
      <c r="C157" s="4" t="inlineStr">
        <is>
          <t>◐</t>
        </is>
      </c>
      <c r="D157" s="24" t="inlineStr">
        <is>
          <t>自设参数</t>
        </is>
      </c>
      <c r="E157" s="3" t="inlineStr">
        <is>
          <t>[P] 需自设：反应时间、减速度</t>
        </is>
      </c>
    </row>
    <row r="158" s="26">
      <c r="A158" s="3" t="inlineStr">
        <is>
          <t>Waymo WOD-E2E</t>
        </is>
      </c>
      <c r="B158" s="3" t="inlineStr">
        <is>
          <t>RCRI</t>
        </is>
      </c>
      <c r="C158" s="7" t="inlineStr">
        <is>
          <t>◇</t>
        </is>
      </c>
      <c r="D158" s="24" t="inlineStr">
        <is>
          <t>需 CV 重建</t>
        </is>
      </c>
      <c r="E158" s="3" t="inlineStr">
        <is>
          <t>数据里没有周围物体的 3D 轨迹，需先用 CV（3D 检测/单目深度）从画面重建，误差大</t>
        </is>
      </c>
    </row>
    <row r="159" s="26">
      <c r="A159" s="3" t="inlineStr">
        <is>
          <t>Nexar / DoTA / CCD</t>
        </is>
      </c>
      <c r="B159" s="3" t="inlineStr">
        <is>
          <t>RCRI</t>
        </is>
      </c>
      <c r="C159" s="7" t="inlineStr">
        <is>
          <t>◇</t>
        </is>
      </c>
      <c r="D159" s="24" t="inlineStr">
        <is>
          <t>需 CV 重建</t>
        </is>
      </c>
      <c r="E159" s="3" t="inlineStr">
        <is>
          <t>数据里没有周围物体的 3D 轨迹，需先用 CV（3D 检测/单目深度）从画面重建，误差大</t>
        </is>
      </c>
    </row>
    <row r="160" s="26">
      <c r="A160" s="3" t="inlineStr">
        <is>
          <t>100-Car 公开部分</t>
        </is>
      </c>
      <c r="B160" s="3" t="inlineStr">
        <is>
          <t>RCRI</t>
        </is>
      </c>
      <c r="C160" s="4" t="inlineStr">
        <is>
          <t>◐</t>
        </is>
      </c>
      <c r="D160" s="24" t="inlineStr">
        <is>
          <t>自设参数</t>
        </is>
      </c>
      <c r="E160" s="3" t="inlineStr">
        <is>
          <t>[P] 需自设：反应时间、减速度</t>
        </is>
      </c>
    </row>
    <row r="161" s="26">
      <c r="A161" s="3" t="inlineStr">
        <is>
          <t>CitySim</t>
        </is>
      </c>
      <c r="B161" s="3" t="inlineStr">
        <is>
          <t>TTB</t>
        </is>
      </c>
      <c r="C161" s="4" t="inlineStr">
        <is>
          <t>◐</t>
        </is>
      </c>
      <c r="D161" s="24" t="inlineStr">
        <is>
          <t>自设参数</t>
        </is>
      </c>
      <c r="E161" s="3" t="inlineStr">
        <is>
          <t>[P] 需自设：最大减速度</t>
        </is>
      </c>
    </row>
    <row r="162" s="26">
      <c r="A162" s="3" t="inlineStr">
        <is>
          <t>NGSIM</t>
        </is>
      </c>
      <c r="B162" s="3" t="inlineStr">
        <is>
          <t>TTB</t>
        </is>
      </c>
      <c r="C162" s="4" t="inlineStr">
        <is>
          <t>◐</t>
        </is>
      </c>
      <c r="D162" s="24" t="inlineStr">
        <is>
          <t>自设参数</t>
        </is>
      </c>
      <c r="E162" s="3" t="inlineStr">
        <is>
          <t>[P] 需自设：最大减速度</t>
        </is>
      </c>
    </row>
    <row r="163" s="26">
      <c r="A163" s="3" t="inlineStr">
        <is>
          <t>highD</t>
        </is>
      </c>
      <c r="B163" s="3" t="inlineStr">
        <is>
          <t>TTB</t>
        </is>
      </c>
      <c r="C163" s="4" t="inlineStr">
        <is>
          <t>◐</t>
        </is>
      </c>
      <c r="D163" s="24" t="inlineStr">
        <is>
          <t>自设参数</t>
        </is>
      </c>
      <c r="E163" s="3" t="inlineStr">
        <is>
          <t>[P] 需自设：最大减速度</t>
        </is>
      </c>
    </row>
    <row r="164" s="26">
      <c r="A164" s="3" t="inlineStr">
        <is>
          <t>exiD</t>
        </is>
      </c>
      <c r="B164" s="3" t="inlineStr">
        <is>
          <t>TTB</t>
        </is>
      </c>
      <c r="C164" s="4" t="inlineStr">
        <is>
          <t>◐</t>
        </is>
      </c>
      <c r="D164" s="24" t="inlineStr">
        <is>
          <t>自设参数</t>
        </is>
      </c>
      <c r="E164" s="3" t="inlineStr">
        <is>
          <t>[P] 需自设：最大减速度</t>
        </is>
      </c>
    </row>
    <row r="165" s="26">
      <c r="A165" s="3" t="inlineStr">
        <is>
          <t>inD / rounD</t>
        </is>
      </c>
      <c r="B165" s="3" t="inlineStr">
        <is>
          <t>TTB</t>
        </is>
      </c>
      <c r="C165" s="4" t="inlineStr">
        <is>
          <t>◐</t>
        </is>
      </c>
      <c r="D165" s="24" t="inlineStr">
        <is>
          <t>自设参数</t>
        </is>
      </c>
      <c r="E165" s="3" t="inlineStr">
        <is>
          <t>[P] 需自设：最大减速度</t>
        </is>
      </c>
    </row>
    <row r="166" s="26">
      <c r="A166" s="3" t="inlineStr">
        <is>
          <t>SinD</t>
        </is>
      </c>
      <c r="B166" s="3" t="inlineStr">
        <is>
          <t>TTB</t>
        </is>
      </c>
      <c r="C166" s="4" t="inlineStr">
        <is>
          <t>◐</t>
        </is>
      </c>
      <c r="D166" s="24" t="inlineStr">
        <is>
          <t>自设参数</t>
        </is>
      </c>
      <c r="E166" s="3" t="inlineStr">
        <is>
          <t>[P] 需自设：最大减速度</t>
        </is>
      </c>
    </row>
    <row r="167" s="26">
      <c r="A167" s="3" t="inlineStr">
        <is>
          <t>INTERACTION</t>
        </is>
      </c>
      <c r="B167" s="3" t="inlineStr">
        <is>
          <t>TTB</t>
        </is>
      </c>
      <c r="C167" s="4" t="inlineStr">
        <is>
          <t>◐</t>
        </is>
      </c>
      <c r="D167" s="24" t="inlineStr">
        <is>
          <t>自设参数</t>
        </is>
      </c>
      <c r="E167" s="3" t="inlineStr">
        <is>
          <t>[P] 需自设：最大减速度</t>
        </is>
      </c>
    </row>
    <row r="168" s="26">
      <c r="A168" s="3" t="inlineStr">
        <is>
          <t>TGSIM</t>
        </is>
      </c>
      <c r="B168" s="3" t="inlineStr">
        <is>
          <t>TTB</t>
        </is>
      </c>
      <c r="C168" s="4" t="inlineStr">
        <is>
          <t>◐</t>
        </is>
      </c>
      <c r="D168" s="24" t="inlineStr">
        <is>
          <t>自设参数</t>
        </is>
      </c>
      <c r="E168" s="3" t="inlineStr">
        <is>
          <t>[P] 需自设：最大减速度</t>
        </is>
      </c>
    </row>
    <row r="169" s="26">
      <c r="A169" s="3" t="inlineStr">
        <is>
          <t>nuScenes</t>
        </is>
      </c>
      <c r="B169" s="3" t="inlineStr">
        <is>
          <t>TTB</t>
        </is>
      </c>
      <c r="C169" s="4" t="inlineStr">
        <is>
          <t>◐</t>
        </is>
      </c>
      <c r="D169" s="24" t="inlineStr">
        <is>
          <t>自设参数</t>
        </is>
      </c>
      <c r="E169" s="3" t="inlineStr">
        <is>
          <t>[P] 需自设：最大减速度</t>
        </is>
      </c>
    </row>
    <row r="170" s="26">
      <c r="A170" s="3" t="inlineStr">
        <is>
          <t>Argoverse 2 传感器</t>
        </is>
      </c>
      <c r="B170" s="3" t="inlineStr">
        <is>
          <t>TTB</t>
        </is>
      </c>
      <c r="C170" s="4" t="inlineStr">
        <is>
          <t>◐</t>
        </is>
      </c>
      <c r="D170" s="24" t="inlineStr">
        <is>
          <t>自设参数</t>
        </is>
      </c>
      <c r="E170" s="3" t="inlineStr">
        <is>
          <t>[P] 需自设：最大减速度</t>
        </is>
      </c>
    </row>
    <row r="171" s="26">
      <c r="A171" s="3" t="inlineStr">
        <is>
          <t>Waymo 感知</t>
        </is>
      </c>
      <c r="B171" s="3" t="inlineStr">
        <is>
          <t>TTB</t>
        </is>
      </c>
      <c r="C171" s="4" t="inlineStr">
        <is>
          <t>◐</t>
        </is>
      </c>
      <c r="D171" s="24" t="inlineStr">
        <is>
          <t>自设参数</t>
        </is>
      </c>
      <c r="E171" s="3" t="inlineStr">
        <is>
          <t>[P] 需自设：最大减速度</t>
        </is>
      </c>
    </row>
    <row r="172" s="26">
      <c r="A172" s="3" t="inlineStr">
        <is>
          <t>KITTI 跟踪</t>
        </is>
      </c>
      <c r="B172" s="3" t="inlineStr">
        <is>
          <t>TTB</t>
        </is>
      </c>
      <c r="C172" s="5" t="inlineStr">
        <is>
          <t>△</t>
        </is>
      </c>
      <c r="D172" s="24" t="inlineStr">
        <is>
          <t>C7 自设参数</t>
        </is>
      </c>
      <c r="E172" s="3" t="inlineStr">
        <is>
          <t>[C7] 前后车配对：没有高精地图，只能按几何位置判断是否同车道；[P] 需自设：最大减速度</t>
        </is>
      </c>
    </row>
    <row r="173" s="26">
      <c r="A173" s="3" t="inlineStr">
        <is>
          <t>PandaSet</t>
        </is>
      </c>
      <c r="B173" s="3" t="inlineStr">
        <is>
          <t>TTB</t>
        </is>
      </c>
      <c r="C173" s="5" t="inlineStr">
        <is>
          <t>△</t>
        </is>
      </c>
      <c r="D173" s="24" t="inlineStr">
        <is>
          <t>C7 自设参数</t>
        </is>
      </c>
      <c r="E173" s="3" t="inlineStr">
        <is>
          <t>[C7] 前后车配对：没有高精地图，只能按几何位置判断是否同车道；[P] 需自设：最大减速度</t>
        </is>
      </c>
    </row>
    <row r="174" s="26">
      <c r="A174" s="3" t="inlineStr">
        <is>
          <t>nuPlan</t>
        </is>
      </c>
      <c r="B174" s="3" t="inlineStr">
        <is>
          <t>TTB</t>
        </is>
      </c>
      <c r="C174" s="4" t="inlineStr">
        <is>
          <t>◐</t>
        </is>
      </c>
      <c r="D174" s="24" t="inlineStr">
        <is>
          <t>自设参数</t>
        </is>
      </c>
      <c r="E174" s="3" t="inlineStr">
        <is>
          <t>[P] 需自设：最大减速度</t>
        </is>
      </c>
    </row>
    <row r="175" s="26">
      <c r="A175" s="3" t="inlineStr">
        <is>
          <t>Waymo 运动预测</t>
        </is>
      </c>
      <c r="B175" s="3" t="inlineStr">
        <is>
          <t>TTB</t>
        </is>
      </c>
      <c r="C175" s="4" t="inlineStr">
        <is>
          <t>◐</t>
        </is>
      </c>
      <c r="D175" s="24" t="inlineStr">
        <is>
          <t>自设参数</t>
        </is>
      </c>
      <c r="E175" s="3" t="inlineStr">
        <is>
          <t>[P] 需自设：最大减速度</t>
        </is>
      </c>
    </row>
    <row r="176" s="26">
      <c r="A176" s="3" t="inlineStr">
        <is>
          <t>DeepAccident（仿真）</t>
        </is>
      </c>
      <c r="B176" s="3" t="inlineStr">
        <is>
          <t>TTB</t>
        </is>
      </c>
      <c r="C176" s="4" t="inlineStr">
        <is>
          <t>◐</t>
        </is>
      </c>
      <c r="D176" s="24" t="inlineStr">
        <is>
          <t>自设参数</t>
        </is>
      </c>
      <c r="E176" s="3" t="inlineStr">
        <is>
          <t>[P] 需自设：最大减速度</t>
        </is>
      </c>
    </row>
    <row r="177" s="26">
      <c r="A177" s="3" t="inlineStr">
        <is>
          <t>Waymo WOD-E2E</t>
        </is>
      </c>
      <c r="B177" s="3" t="inlineStr">
        <is>
          <t>TTB</t>
        </is>
      </c>
      <c r="C177" s="7" t="inlineStr">
        <is>
          <t>◇</t>
        </is>
      </c>
      <c r="D177" s="24" t="inlineStr">
        <is>
          <t>需 CV 重建</t>
        </is>
      </c>
      <c r="E177" s="3" t="inlineStr">
        <is>
          <t>数据里没有周围物体的 3D 轨迹，需先用 CV（3D 检测/单目深度）从画面重建，误差大</t>
        </is>
      </c>
    </row>
    <row r="178" s="26">
      <c r="A178" s="3" t="inlineStr">
        <is>
          <t>Nexar / DoTA / CCD</t>
        </is>
      </c>
      <c r="B178" s="3" t="inlineStr">
        <is>
          <t>TTB</t>
        </is>
      </c>
      <c r="C178" s="7" t="inlineStr">
        <is>
          <t>◇</t>
        </is>
      </c>
      <c r="D178" s="24" t="inlineStr">
        <is>
          <t>需 CV 重建</t>
        </is>
      </c>
      <c r="E178" s="3" t="inlineStr">
        <is>
          <t>数据里没有周围物体的 3D 轨迹，需先用 CV（3D 检测/单目深度）从画面重建，误差大</t>
        </is>
      </c>
    </row>
    <row r="179" s="26">
      <c r="A179" s="3" t="inlineStr">
        <is>
          <t>100-Car 公开部分</t>
        </is>
      </c>
      <c r="B179" s="3" t="inlineStr">
        <is>
          <t>TTB</t>
        </is>
      </c>
      <c r="C179" s="4" t="inlineStr">
        <is>
          <t>◐</t>
        </is>
      </c>
      <c r="D179" s="24" t="inlineStr">
        <is>
          <t>自设参数</t>
        </is>
      </c>
      <c r="E179" s="3" t="inlineStr">
        <is>
          <t>[P] 需自设：最大减速度</t>
        </is>
      </c>
    </row>
    <row r="180" s="26">
      <c r="A180" s="3" t="inlineStr">
        <is>
          <t>CitySim</t>
        </is>
      </c>
      <c r="B180" s="3" t="inlineStr">
        <is>
          <t>TTS</t>
        </is>
      </c>
      <c r="C180" s="4" t="inlineStr">
        <is>
          <t>◐</t>
        </is>
      </c>
      <c r="D180" s="24" t="inlineStr">
        <is>
          <t>自设参数</t>
        </is>
      </c>
      <c r="E180" s="3" t="inlineStr">
        <is>
          <t>[P] 需自设：最大横向加速度</t>
        </is>
      </c>
    </row>
    <row r="181" s="26">
      <c r="A181" s="3" t="inlineStr">
        <is>
          <t>NGSIM</t>
        </is>
      </c>
      <c r="B181" s="3" t="inlineStr">
        <is>
          <t>TTS</t>
        </is>
      </c>
      <c r="C181" s="5" t="inlineStr">
        <is>
          <t>△</t>
        </is>
      </c>
      <c r="D181" s="24" t="inlineStr">
        <is>
          <t>C3 自设参数</t>
        </is>
      </c>
      <c r="E181" s="3" t="inlineStr">
        <is>
          <t>[C3] 带朝向外框：有长宽但没有朝向，需由位置变化推算；[P] 需自设：最大横向加速度</t>
        </is>
      </c>
    </row>
    <row r="182" s="26">
      <c r="A182" s="3" t="inlineStr">
        <is>
          <t>highD</t>
        </is>
      </c>
      <c r="B182" s="3" t="inlineStr">
        <is>
          <t>TTS</t>
        </is>
      </c>
      <c r="C182" s="5" t="inlineStr">
        <is>
          <t>△</t>
        </is>
      </c>
      <c r="D182" s="24" t="inlineStr">
        <is>
          <t>C3 自设参数</t>
        </is>
      </c>
      <c r="E182" s="3" t="inlineStr">
        <is>
          <t>[C3] 带朝向外框：外框与车道平行，朝向需由速度推算；横向交互只有变道；[P] 需自设：最大横向加速度</t>
        </is>
      </c>
    </row>
    <row r="183" s="26">
      <c r="A183" s="3" t="inlineStr">
        <is>
          <t>exiD</t>
        </is>
      </c>
      <c r="B183" s="3" t="inlineStr">
        <is>
          <t>TTS</t>
        </is>
      </c>
      <c r="C183" s="4" t="inlineStr">
        <is>
          <t>◐</t>
        </is>
      </c>
      <c r="D183" s="24" t="inlineStr">
        <is>
          <t>自设参数</t>
        </is>
      </c>
      <c r="E183" s="3" t="inlineStr">
        <is>
          <t>[P] 需自设：最大横向加速度</t>
        </is>
      </c>
    </row>
    <row r="184" s="26">
      <c r="A184" s="3" t="inlineStr">
        <is>
          <t>inD / rounD</t>
        </is>
      </c>
      <c r="B184" s="3" t="inlineStr">
        <is>
          <t>TTS</t>
        </is>
      </c>
      <c r="C184" s="4" t="inlineStr">
        <is>
          <t>◐</t>
        </is>
      </c>
      <c r="D184" s="24" t="inlineStr">
        <is>
          <t>自设参数</t>
        </is>
      </c>
      <c r="E184" s="3" t="inlineStr">
        <is>
          <t>[P] 需自设：最大横向加速度</t>
        </is>
      </c>
    </row>
    <row r="185" s="26">
      <c r="A185" s="3" t="inlineStr">
        <is>
          <t>SinD</t>
        </is>
      </c>
      <c r="B185" s="3" t="inlineStr">
        <is>
          <t>TTS</t>
        </is>
      </c>
      <c r="C185" s="4" t="inlineStr">
        <is>
          <t>◐</t>
        </is>
      </c>
      <c r="D185" s="24" t="inlineStr">
        <is>
          <t>自设参数</t>
        </is>
      </c>
      <c r="E185" s="3" t="inlineStr">
        <is>
          <t>[P] 需自设：最大横向加速度</t>
        </is>
      </c>
    </row>
    <row r="186" s="26">
      <c r="A186" s="3" t="inlineStr">
        <is>
          <t>INTERACTION</t>
        </is>
      </c>
      <c r="B186" s="3" t="inlineStr">
        <is>
          <t>TTS</t>
        </is>
      </c>
      <c r="C186" s="4" t="inlineStr">
        <is>
          <t>◐</t>
        </is>
      </c>
      <c r="D186" s="24" t="inlineStr">
        <is>
          <t>自设参数</t>
        </is>
      </c>
      <c r="E186" s="3" t="inlineStr">
        <is>
          <t>[P] 需自设：最大横向加速度</t>
        </is>
      </c>
    </row>
    <row r="187" s="26">
      <c r="A187" s="3" t="inlineStr">
        <is>
          <t>TGSIM</t>
        </is>
      </c>
      <c r="B187" s="3" t="inlineStr">
        <is>
          <t>TTS</t>
        </is>
      </c>
      <c r="C187" s="5" t="inlineStr">
        <is>
          <t>△</t>
        </is>
      </c>
      <c r="D187" s="24" t="inlineStr">
        <is>
          <t>C3 自设参数</t>
        </is>
      </c>
      <c r="E187" s="3" t="inlineStr">
        <is>
          <t>[C3] 带朝向外框：是否提供朝向未核实，可能需由位置推算；[P] 需自设：最大横向加速度</t>
        </is>
      </c>
    </row>
    <row r="188" s="26">
      <c r="A188" s="3" t="inlineStr">
        <is>
          <t>nuScenes</t>
        </is>
      </c>
      <c r="B188" s="3" t="inlineStr">
        <is>
          <t>TTS</t>
        </is>
      </c>
      <c r="C188" s="4" t="inlineStr">
        <is>
          <t>◐</t>
        </is>
      </c>
      <c r="D188" s="24" t="inlineStr">
        <is>
          <t>自设参数</t>
        </is>
      </c>
      <c r="E188" s="3" t="inlineStr">
        <is>
          <t>[P] 需自设：最大横向加速度</t>
        </is>
      </c>
    </row>
    <row r="189" s="26">
      <c r="A189" s="3" t="inlineStr">
        <is>
          <t>Argoverse 2 传感器</t>
        </is>
      </c>
      <c r="B189" s="3" t="inlineStr">
        <is>
          <t>TTS</t>
        </is>
      </c>
      <c r="C189" s="4" t="inlineStr">
        <is>
          <t>◐</t>
        </is>
      </c>
      <c r="D189" s="24" t="inlineStr">
        <is>
          <t>自设参数</t>
        </is>
      </c>
      <c r="E189" s="3" t="inlineStr">
        <is>
          <t>[P] 需自设：最大横向加速度</t>
        </is>
      </c>
    </row>
    <row r="190" s="26">
      <c r="A190" s="3" t="inlineStr">
        <is>
          <t>Waymo 感知</t>
        </is>
      </c>
      <c r="B190" s="3" t="inlineStr">
        <is>
          <t>TTS</t>
        </is>
      </c>
      <c r="C190" s="4" t="inlineStr">
        <is>
          <t>◐</t>
        </is>
      </c>
      <c r="D190" s="24" t="inlineStr">
        <is>
          <t>自设参数</t>
        </is>
      </c>
      <c r="E190" s="3" t="inlineStr">
        <is>
          <t>[P] 需自设：最大横向加速度</t>
        </is>
      </c>
    </row>
    <row r="191" s="26">
      <c r="A191" s="3" t="inlineStr">
        <is>
          <t>KITTI 跟踪</t>
        </is>
      </c>
      <c r="B191" s="3" t="inlineStr">
        <is>
          <t>TTS</t>
        </is>
      </c>
      <c r="C191" s="4" t="inlineStr">
        <is>
          <t>◐</t>
        </is>
      </c>
      <c r="D191" s="24" t="inlineStr">
        <is>
          <t>自设参数</t>
        </is>
      </c>
      <c r="E191" s="3" t="inlineStr">
        <is>
          <t>[P] 需自设：最大横向加速度</t>
        </is>
      </c>
    </row>
    <row r="192" s="26">
      <c r="A192" s="3" t="inlineStr">
        <is>
          <t>PandaSet</t>
        </is>
      </c>
      <c r="B192" s="3" t="inlineStr">
        <is>
          <t>TTS</t>
        </is>
      </c>
      <c r="C192" s="4" t="inlineStr">
        <is>
          <t>◐</t>
        </is>
      </c>
      <c r="D192" s="24" t="inlineStr">
        <is>
          <t>自设参数</t>
        </is>
      </c>
      <c r="E192" s="3" t="inlineStr">
        <is>
          <t>[P] 需自设：最大横向加速度</t>
        </is>
      </c>
    </row>
    <row r="193" s="26">
      <c r="A193" s="3" t="inlineStr">
        <is>
          <t>nuPlan</t>
        </is>
      </c>
      <c r="B193" s="3" t="inlineStr">
        <is>
          <t>TTS</t>
        </is>
      </c>
      <c r="C193" s="4" t="inlineStr">
        <is>
          <t>◐</t>
        </is>
      </c>
      <c r="D193" s="24" t="inlineStr">
        <is>
          <t>自设参数</t>
        </is>
      </c>
      <c r="E193" s="3" t="inlineStr">
        <is>
          <t>[P] 需自设：最大横向加速度</t>
        </is>
      </c>
    </row>
    <row r="194" s="26">
      <c r="A194" s="3" t="inlineStr">
        <is>
          <t>Waymo 运动预测</t>
        </is>
      </c>
      <c r="B194" s="3" t="inlineStr">
        <is>
          <t>TTS</t>
        </is>
      </c>
      <c r="C194" s="4" t="inlineStr">
        <is>
          <t>◐</t>
        </is>
      </c>
      <c r="D194" s="24" t="inlineStr">
        <is>
          <t>自设参数</t>
        </is>
      </c>
      <c r="E194" s="3" t="inlineStr">
        <is>
          <t>[P] 需自设：最大横向加速度</t>
        </is>
      </c>
    </row>
    <row r="195" s="26">
      <c r="A195" s="3" t="inlineStr">
        <is>
          <t>DeepAccident（仿真）</t>
        </is>
      </c>
      <c r="B195" s="3" t="inlineStr">
        <is>
          <t>TTS</t>
        </is>
      </c>
      <c r="C195" s="4" t="inlineStr">
        <is>
          <t>◐</t>
        </is>
      </c>
      <c r="D195" s="24" t="inlineStr">
        <is>
          <t>自设参数</t>
        </is>
      </c>
      <c r="E195" s="3" t="inlineStr">
        <is>
          <t>[P] 需自设：最大横向加速度</t>
        </is>
      </c>
    </row>
    <row r="196" s="26">
      <c r="A196" s="3" t="inlineStr">
        <is>
          <t>Waymo WOD-E2E</t>
        </is>
      </c>
      <c r="B196" s="3" t="inlineStr">
        <is>
          <t>TTS</t>
        </is>
      </c>
      <c r="C196" s="7" t="inlineStr">
        <is>
          <t>◇</t>
        </is>
      </c>
      <c r="D196" s="24" t="inlineStr">
        <is>
          <t>需 CV 重建</t>
        </is>
      </c>
      <c r="E196" s="3" t="inlineStr">
        <is>
          <t>数据里没有周围物体的 3D 轨迹，需先用 CV（3D 检测/单目深度）从画面重建，误差大</t>
        </is>
      </c>
    </row>
    <row r="197" s="26">
      <c r="A197" s="3" t="inlineStr">
        <is>
          <t>Nexar / DoTA / CCD</t>
        </is>
      </c>
      <c r="B197" s="3" t="inlineStr">
        <is>
          <t>TTS</t>
        </is>
      </c>
      <c r="C197" s="7" t="inlineStr">
        <is>
          <t>◇</t>
        </is>
      </c>
      <c r="D197" s="24" t="inlineStr">
        <is>
          <t>需 CV 重建</t>
        </is>
      </c>
      <c r="E197" s="3" t="inlineStr">
        <is>
          <t>数据里没有周围物体的 3D 轨迹，需先用 CV（3D 检测/单目深度）从画面重建，误差大</t>
        </is>
      </c>
    </row>
    <row r="198" s="26">
      <c r="A198" s="3" t="inlineStr">
        <is>
          <t>100-Car 公开部分</t>
        </is>
      </c>
      <c r="B198" s="3" t="inlineStr">
        <is>
          <t>TTS</t>
        </is>
      </c>
      <c r="C198" s="8" t="inlineStr">
        <is>
          <t>✗</t>
        </is>
      </c>
      <c r="D198" s="24" t="inlineStr">
        <is>
          <t>缺数据</t>
        </is>
      </c>
      <c r="E198" s="3" t="inlineStr">
        <is>
          <t>[缺数据] 带朝向外框：没有周围车的外框和横向信息</t>
        </is>
      </c>
    </row>
    <row r="199" s="26">
      <c r="A199" s="3" t="inlineStr">
        <is>
          <t>CitySim</t>
        </is>
      </c>
      <c r="B199" s="3" t="inlineStr">
        <is>
          <t>CI</t>
        </is>
      </c>
      <c r="C199" s="5" t="inlineStr">
        <is>
          <t>△</t>
        </is>
      </c>
      <c r="D199" s="24" t="inlineStr">
        <is>
          <t>C1</t>
        </is>
      </c>
      <c r="E199" s="3" t="inlineStr">
        <is>
          <t>[C1] 加速度：没有加速度字段，要由速度（30 Hz）差分并平滑</t>
        </is>
      </c>
    </row>
    <row r="200" s="26">
      <c r="A200" s="3" t="inlineStr">
        <is>
          <t>NGSIM</t>
        </is>
      </c>
      <c r="B200" s="3" t="inlineStr">
        <is>
          <t>CI</t>
        </is>
      </c>
      <c r="C200" s="5" t="inlineStr">
        <is>
          <t>△</t>
        </is>
      </c>
      <c r="D200" s="24" t="inlineStr">
        <is>
          <t>C1</t>
        </is>
      </c>
      <c r="E200" s="3" t="inlineStr">
        <is>
          <t>[C1] 加速度：官方加速度噪声大，需先平滑（或用他人重构的轨迹）</t>
        </is>
      </c>
    </row>
    <row r="201" s="26">
      <c r="A201" s="3" t="inlineStr">
        <is>
          <t>INTERACTION</t>
        </is>
      </c>
      <c r="B201" s="3" t="inlineStr">
        <is>
          <t>CI</t>
        </is>
      </c>
      <c r="C201" s="5" t="inlineStr">
        <is>
          <t>△</t>
        </is>
      </c>
      <c r="D201" s="24" t="inlineStr">
        <is>
          <t>C1</t>
        </is>
      </c>
      <c r="E201" s="3" t="inlineStr">
        <is>
          <t>[C1] 加速度：没有加速度字段，需由速度（10 Hz）差分</t>
        </is>
      </c>
    </row>
    <row r="202" s="26">
      <c r="A202" s="3" t="inlineStr">
        <is>
          <t>TGSIM</t>
        </is>
      </c>
      <c r="B202" s="3" t="inlineStr">
        <is>
          <t>CI</t>
        </is>
      </c>
      <c r="C202" s="5" t="inlineStr">
        <is>
          <t>△</t>
        </is>
      </c>
      <c r="D202" s="24" t="inlineStr">
        <is>
          <t>C1</t>
        </is>
      </c>
      <c r="E202" s="3" t="inlineStr">
        <is>
          <t>[C1] 加速度：是否直接提供加速度未核实，可能需自己差分</t>
        </is>
      </c>
    </row>
    <row r="203" s="26">
      <c r="A203" s="3" t="inlineStr">
        <is>
          <t>nuScenes</t>
        </is>
      </c>
      <c r="B203" s="3" t="inlineStr">
        <is>
          <t>CI</t>
        </is>
      </c>
      <c r="C203" s="5" t="inlineStr">
        <is>
          <t>△</t>
        </is>
      </c>
      <c r="D203" s="24" t="inlineStr">
        <is>
          <t>C1</t>
        </is>
      </c>
      <c r="E203" s="3" t="inlineStr">
        <is>
          <t>[C1] 加速度：其他车的加速度要由 2 Hz 标注二次差分，误差大，也看不出刹车从哪一刻开始；自车加速度用 CAN 总线（IMU 100 Hz）</t>
        </is>
      </c>
    </row>
    <row r="204" ht="24.9" customHeight="1" s="26">
      <c r="A204" s="3" t="inlineStr">
        <is>
          <t>Argoverse 2 传感器</t>
        </is>
      </c>
      <c r="B204" s="3" t="inlineStr">
        <is>
          <t>CI</t>
        </is>
      </c>
      <c r="C204" s="5" t="inlineStr">
        <is>
          <t>△</t>
        </is>
      </c>
      <c r="D204" s="24" t="inlineStr">
        <is>
          <t>C1</t>
        </is>
      </c>
      <c r="E204" s="3" t="inlineStr">
        <is>
          <t>[C1] 加速度：其他车加速度要由 3D 框二次差分并平滑；自车可用位姿</t>
        </is>
      </c>
    </row>
    <row r="205" s="26">
      <c r="A205" s="3" t="inlineStr">
        <is>
          <t>KITTI 跟踪</t>
        </is>
      </c>
      <c r="B205" s="3" t="inlineStr">
        <is>
          <t>CI</t>
        </is>
      </c>
      <c r="C205" s="5" t="inlineStr">
        <is>
          <t>△</t>
        </is>
      </c>
      <c r="D205" s="24" t="inlineStr">
        <is>
          <t>C7 C1</t>
        </is>
      </c>
      <c r="E205" s="3" t="inlineStr">
        <is>
          <t>[C7] 前后车配对：没有高精地图，只能按几何位置判断是否同车道；[C1] 加速度：其他车需差分平滑；自车由 GPS/IMU 直接给</t>
        </is>
      </c>
    </row>
    <row r="206" s="26">
      <c r="A206" s="3" t="inlineStr">
        <is>
          <t>PandaSet</t>
        </is>
      </c>
      <c r="B206" s="3" t="inlineStr">
        <is>
          <t>CI</t>
        </is>
      </c>
      <c r="C206" s="5" t="inlineStr">
        <is>
          <t>△</t>
        </is>
      </c>
      <c r="D206" s="24" t="inlineStr">
        <is>
          <t>C7 C1</t>
        </is>
      </c>
      <c r="E206" s="3" t="inlineStr">
        <is>
          <t>[C7] 前后车配对：没有高精地图，只能按几何位置判断是否同车道；[C1] 加速度：其他车需差分平滑</t>
        </is>
      </c>
    </row>
    <row r="207" ht="24.9" customHeight="1" s="26">
      <c r="A207" s="3" t="inlineStr">
        <is>
          <t>nuPlan</t>
        </is>
      </c>
      <c r="B207" s="3" t="inlineStr">
        <is>
          <t>CI</t>
        </is>
      </c>
      <c r="C207" s="5" t="inlineStr">
        <is>
          <t>△</t>
        </is>
      </c>
      <c r="D207" s="24" t="inlineStr">
        <is>
          <t>C1</t>
        </is>
      </c>
      <c r="E207" s="3" t="inlineStr">
        <is>
          <t>[C1] 加速度：20 Hz 自动标注轨迹，需平滑</t>
        </is>
      </c>
    </row>
    <row r="208" s="26">
      <c r="A208" s="3" t="inlineStr">
        <is>
          <t>Waymo 运动预测</t>
        </is>
      </c>
      <c r="B208" s="3" t="inlineStr">
        <is>
          <t>CI</t>
        </is>
      </c>
      <c r="C208" s="5" t="inlineStr">
        <is>
          <t>△</t>
        </is>
      </c>
      <c r="D208" s="24" t="inlineStr">
        <is>
          <t>C1</t>
        </is>
      </c>
      <c r="E208" s="3" t="inlineStr">
        <is>
          <t>[C1] 加速度：需差分平滑</t>
        </is>
      </c>
    </row>
    <row r="209" s="26">
      <c r="A209" s="3" t="inlineStr">
        <is>
          <t>Waymo WOD-E2E</t>
        </is>
      </c>
      <c r="B209" s="3" t="inlineStr">
        <is>
          <t>CI</t>
        </is>
      </c>
      <c r="C209" s="7" t="inlineStr">
        <is>
          <t>◇</t>
        </is>
      </c>
      <c r="D209" s="24" t="inlineStr">
        <is>
          <t>需 CV 重建</t>
        </is>
      </c>
      <c r="E209" s="3" t="inlineStr">
        <is>
          <t>数据里没有周围物体的 3D 轨迹，需先用 CV（3D 检测/单目深度）从画面重建，误差大</t>
        </is>
      </c>
    </row>
    <row r="210" s="26">
      <c r="A210" s="3" t="inlineStr">
        <is>
          <t>Nexar / DoTA / CCD</t>
        </is>
      </c>
      <c r="B210" s="3" t="inlineStr">
        <is>
          <t>CI</t>
        </is>
      </c>
      <c r="C210" s="7" t="inlineStr">
        <is>
          <t>◇</t>
        </is>
      </c>
      <c r="D210" s="24" t="inlineStr">
        <is>
          <t>需 CV 重建</t>
        </is>
      </c>
      <c r="E210" s="3" t="inlineStr">
        <is>
          <t>数据里没有周围物体的 3D 轨迹，需先用 CV（3D 检测/单目深度）从画面重建，误差大</t>
        </is>
      </c>
    </row>
    <row r="211" s="26">
      <c r="A211" s="3" t="inlineStr">
        <is>
          <t>100-Car 公开部分</t>
        </is>
      </c>
      <c r="B211" s="3" t="inlineStr">
        <is>
          <t>CI</t>
        </is>
      </c>
      <c r="C211" s="5" t="inlineStr">
        <is>
          <t>△</t>
        </is>
      </c>
      <c r="D211" s="24" t="inlineStr">
        <is>
          <t>C1</t>
        </is>
      </c>
      <c r="E211" s="3" t="inlineStr">
        <is>
          <t>[C1] 加速度：前车加速度需由相对速度差分</t>
        </is>
      </c>
    </row>
    <row r="212" s="26">
      <c r="A212" s="3" t="inlineStr">
        <is>
          <t>highD</t>
        </is>
      </c>
      <c r="B212" s="3" t="inlineStr">
        <is>
          <t>GT</t>
        </is>
      </c>
      <c r="C212" s="5" t="inlineStr">
        <is>
          <t>△</t>
        </is>
      </c>
      <c r="D212" s="24" t="inlineStr">
        <is>
          <t>C4</t>
        </is>
      </c>
      <c r="E212" s="3" t="inlineStr">
        <is>
          <t>[C4] 交叉冲突：没有路口，只有变道和汇入</t>
        </is>
      </c>
    </row>
    <row r="213" s="26">
      <c r="A213" s="3" t="inlineStr">
        <is>
          <t>nuScenes</t>
        </is>
      </c>
      <c r="B213" s="3" t="inlineStr">
        <is>
          <t>GT</t>
        </is>
      </c>
      <c r="C213" s="5" t="inlineStr">
        <is>
          <t>△</t>
        </is>
      </c>
      <c r="D213" s="24" t="inlineStr">
        <is>
          <t>C8</t>
        </is>
      </c>
      <c r="E213" s="3" t="inlineStr">
        <is>
          <t>[C8] 交叉冲突：经过冲突区的时刻只精确到 0.5 秒，需插值；每段只有 20 秒，两车都要在段内经过冲突点</t>
        </is>
      </c>
    </row>
    <row r="214" s="26">
      <c r="A214" s="3" t="inlineStr">
        <is>
          <t>Argoverse 2 传感器</t>
        </is>
      </c>
      <c r="B214" s="3" t="inlineStr">
        <is>
          <t>GT</t>
        </is>
      </c>
      <c r="C214" s="5" t="inlineStr">
        <is>
          <t>△</t>
        </is>
      </c>
      <c r="D214" s="24" t="inlineStr">
        <is>
          <t>C4</t>
        </is>
      </c>
      <c r="E214" s="3" t="inlineStr">
        <is>
          <t>[C4] 交叉冲突：每段较短，冲突点要在段内</t>
        </is>
      </c>
    </row>
    <row r="215" s="26">
      <c r="A215" s="3" t="inlineStr">
        <is>
          <t>Waymo 感知</t>
        </is>
      </c>
      <c r="B215" s="3" t="inlineStr">
        <is>
          <t>GT</t>
        </is>
      </c>
      <c r="C215" s="5" t="inlineStr">
        <is>
          <t>△</t>
        </is>
      </c>
      <c r="D215" s="24" t="inlineStr">
        <is>
          <t>C4</t>
        </is>
      </c>
      <c r="E215" s="3" t="inlineStr">
        <is>
          <t>[C4] 交叉冲突：每段 20 秒，冲突点要在段内</t>
        </is>
      </c>
    </row>
    <row r="216" s="26">
      <c r="A216" s="3" t="inlineStr">
        <is>
          <t>KITTI 跟踪</t>
        </is>
      </c>
      <c r="B216" s="3" t="inlineStr">
        <is>
          <t>GT</t>
        </is>
      </c>
      <c r="C216" s="5" t="inlineStr">
        <is>
          <t>△</t>
        </is>
      </c>
      <c r="D216" s="24" t="inlineStr">
        <is>
          <t>C4</t>
        </is>
      </c>
      <c r="E216" s="3" t="inlineStr">
        <is>
          <t>[C4] 交叉冲突：序列短、路口少</t>
        </is>
      </c>
    </row>
    <row r="217" s="26">
      <c r="A217" s="3" t="inlineStr">
        <is>
          <t>PandaSet</t>
        </is>
      </c>
      <c r="B217" s="3" t="inlineStr">
        <is>
          <t>GT</t>
        </is>
      </c>
      <c r="C217" s="5" t="inlineStr">
        <is>
          <t>△</t>
        </is>
      </c>
      <c r="D217" s="24" t="inlineStr">
        <is>
          <t>C4</t>
        </is>
      </c>
      <c r="E217" s="3" t="inlineStr">
        <is>
          <t>[C4] 交叉冲突：每段只有 8 秒</t>
        </is>
      </c>
    </row>
    <row r="218" s="26">
      <c r="A218" s="3" t="inlineStr">
        <is>
          <t>Waymo WOD-E2E</t>
        </is>
      </c>
      <c r="B218" s="3" t="inlineStr">
        <is>
          <t>GT</t>
        </is>
      </c>
      <c r="C218" s="7" t="inlineStr">
        <is>
          <t>◇</t>
        </is>
      </c>
      <c r="D218" s="24" t="inlineStr">
        <is>
          <t>需 CV 重建</t>
        </is>
      </c>
      <c r="E218" s="3" t="inlineStr">
        <is>
          <t>数据里没有周围物体的 3D 轨迹，需先用 CV（3D 检测/单目深度）从画面重建，误差大</t>
        </is>
      </c>
    </row>
    <row r="219" s="26">
      <c r="A219" s="3" t="inlineStr">
        <is>
          <t>Nexar / DoTA / CCD</t>
        </is>
      </c>
      <c r="B219" s="3" t="inlineStr">
        <is>
          <t>GT</t>
        </is>
      </c>
      <c r="C219" s="7" t="inlineStr">
        <is>
          <t>◇</t>
        </is>
      </c>
      <c r="D219" s="24" t="inlineStr">
        <is>
          <t>需 CV 重建</t>
        </is>
      </c>
      <c r="E219" s="3" t="inlineStr">
        <is>
          <t>数据里没有周围物体的 3D 轨迹，需先用 CV（3D 检测/单目深度）从画面重建，误差大</t>
        </is>
      </c>
    </row>
    <row r="220" s="26">
      <c r="A220" s="3" t="inlineStr">
        <is>
          <t>100-Car 公开部分</t>
        </is>
      </c>
      <c r="B220" s="3" t="inlineStr">
        <is>
          <t>GT</t>
        </is>
      </c>
      <c r="C220" s="8" t="inlineStr">
        <is>
          <t>✗</t>
        </is>
      </c>
      <c r="D220" s="24" t="inlineStr">
        <is>
          <t>缺数据</t>
        </is>
      </c>
      <c r="E220" s="3" t="inlineStr">
        <is>
          <t>[缺数据] 交叉冲突：只有前车，没有交叉冲突</t>
        </is>
      </c>
    </row>
    <row r="221" s="26">
      <c r="A221" s="3" t="inlineStr">
        <is>
          <t>NGSIM</t>
        </is>
      </c>
      <c r="B221" s="3" t="inlineStr">
        <is>
          <t>ACT</t>
        </is>
      </c>
      <c r="C221" s="5" t="inlineStr">
        <is>
          <t>△</t>
        </is>
      </c>
      <c r="D221" s="24" t="inlineStr">
        <is>
          <t>C3</t>
        </is>
      </c>
      <c r="E221" s="3" t="inlineStr">
        <is>
          <t>[C3] 带朝向外框：有长宽但没有朝向，需由位置变化推算</t>
        </is>
      </c>
    </row>
    <row r="222" s="26">
      <c r="A222" s="3" t="inlineStr">
        <is>
          <t>highD</t>
        </is>
      </c>
      <c r="B222" s="3" t="inlineStr">
        <is>
          <t>ACT</t>
        </is>
      </c>
      <c r="C222" s="5" t="inlineStr">
        <is>
          <t>△</t>
        </is>
      </c>
      <c r="D222" s="24" t="inlineStr">
        <is>
          <t>C3</t>
        </is>
      </c>
      <c r="E222" s="3" t="inlineStr">
        <is>
          <t>[C3] 带朝向外框：外框与车道平行，朝向需由速度推算；横向交互只有变道</t>
        </is>
      </c>
    </row>
    <row r="223" s="26">
      <c r="A223" s="3" t="inlineStr">
        <is>
          <t>TGSIM</t>
        </is>
      </c>
      <c r="B223" s="3" t="inlineStr">
        <is>
          <t>ACT</t>
        </is>
      </c>
      <c r="C223" s="5" t="inlineStr">
        <is>
          <t>△</t>
        </is>
      </c>
      <c r="D223" s="24" t="inlineStr">
        <is>
          <t>C3</t>
        </is>
      </c>
      <c r="E223" s="3" t="inlineStr">
        <is>
          <t>[C3] 带朝向外框：是否提供朝向未核实，可能需由位置推算</t>
        </is>
      </c>
    </row>
    <row r="224" s="26">
      <c r="A224" s="3" t="inlineStr">
        <is>
          <t>Waymo WOD-E2E</t>
        </is>
      </c>
      <c r="B224" s="3" t="inlineStr">
        <is>
          <t>ACT</t>
        </is>
      </c>
      <c r="C224" s="7" t="inlineStr">
        <is>
          <t>◇</t>
        </is>
      </c>
      <c r="D224" s="24" t="inlineStr">
        <is>
          <t>需 CV 重建</t>
        </is>
      </c>
      <c r="E224" s="3" t="inlineStr">
        <is>
          <t>数据里没有周围物体的 3D 轨迹，需先用 CV（3D 检测/单目深度）从画面重建，误差大</t>
        </is>
      </c>
    </row>
    <row r="225" s="26">
      <c r="A225" s="3" t="inlineStr">
        <is>
          <t>Nexar / DoTA / CCD</t>
        </is>
      </c>
      <c r="B225" s="3" t="inlineStr">
        <is>
          <t>ACT</t>
        </is>
      </c>
      <c r="C225" s="7" t="inlineStr">
        <is>
          <t>◇</t>
        </is>
      </c>
      <c r="D225" s="24" t="inlineStr">
        <is>
          <t>需 CV 重建</t>
        </is>
      </c>
      <c r="E225" s="3" t="inlineStr">
        <is>
          <t>数据里没有周围物体的 3D 轨迹，需先用 CV（3D 检测/单目深度）从画面重建，误差大</t>
        </is>
      </c>
    </row>
    <row r="226" s="26">
      <c r="A226" s="3" t="inlineStr">
        <is>
          <t>100-Car 公开部分</t>
        </is>
      </c>
      <c r="B226" s="3" t="inlineStr">
        <is>
          <t>ACT</t>
        </is>
      </c>
      <c r="C226" s="8" t="inlineStr">
        <is>
          <t>✗</t>
        </is>
      </c>
      <c r="D226" s="24" t="inlineStr">
        <is>
          <t>缺数据</t>
        </is>
      </c>
      <c r="E226" s="3" t="inlineStr">
        <is>
          <t>[缺数据] 带朝向外框：没有周围车的外框和横向信息</t>
        </is>
      </c>
    </row>
    <row r="227" s="26">
      <c r="A227" s="3" t="inlineStr">
        <is>
          <t>CitySim</t>
        </is>
      </c>
      <c r="B227" s="3" t="inlineStr">
        <is>
          <t>delta-V</t>
        </is>
      </c>
      <c r="C227" s="5" t="inlineStr">
        <is>
          <t>△</t>
        </is>
      </c>
      <c r="D227" s="24" t="inlineStr">
        <is>
          <t>C6 自设参数</t>
        </is>
      </c>
      <c r="E227" s="3" t="inlineStr">
        <is>
          <t>[C6] 车型/质量：没有车型字段，要按外框尺寸估车型和质量；[P] 需自设：车辆质量（按车型取典型值）</t>
        </is>
      </c>
    </row>
    <row r="228" s="26">
      <c r="A228" s="3" t="inlineStr">
        <is>
          <t>NGSIM</t>
        </is>
      </c>
      <c r="B228" s="3" t="inlineStr">
        <is>
          <t>delta-V</t>
        </is>
      </c>
      <c r="C228" s="4" t="inlineStr">
        <is>
          <t>◐</t>
        </is>
      </c>
      <c r="D228" s="24" t="inlineStr">
        <is>
          <t>自设参数</t>
        </is>
      </c>
      <c r="E228" s="3" t="inlineStr">
        <is>
          <t>[P] 需自设：车辆质量（按车型取典型值）</t>
        </is>
      </c>
    </row>
    <row r="229" s="26">
      <c r="A229" s="3" t="inlineStr">
        <is>
          <t>highD</t>
        </is>
      </c>
      <c r="B229" s="3" t="inlineStr">
        <is>
          <t>delta-V</t>
        </is>
      </c>
      <c r="C229" s="4" t="inlineStr">
        <is>
          <t>◐</t>
        </is>
      </c>
      <c r="D229" s="24" t="inlineStr">
        <is>
          <t>自设参数</t>
        </is>
      </c>
      <c r="E229" s="3" t="inlineStr">
        <is>
          <t>[P] 需自设：车辆质量（按车型取典型值）</t>
        </is>
      </c>
    </row>
    <row r="230" s="26">
      <c r="A230" s="3" t="inlineStr">
        <is>
          <t>exiD</t>
        </is>
      </c>
      <c r="B230" s="3" t="inlineStr">
        <is>
          <t>delta-V</t>
        </is>
      </c>
      <c r="C230" s="4" t="inlineStr">
        <is>
          <t>◐</t>
        </is>
      </c>
      <c r="D230" s="24" t="inlineStr">
        <is>
          <t>自设参数</t>
        </is>
      </c>
      <c r="E230" s="3" t="inlineStr">
        <is>
          <t>[P] 需自设：车辆质量（按车型取典型值）</t>
        </is>
      </c>
    </row>
    <row r="231" s="26">
      <c r="A231" s="3" t="inlineStr">
        <is>
          <t>inD / rounD</t>
        </is>
      </c>
      <c r="B231" s="3" t="inlineStr">
        <is>
          <t>delta-V</t>
        </is>
      </c>
      <c r="C231" s="4" t="inlineStr">
        <is>
          <t>◐</t>
        </is>
      </c>
      <c r="D231" s="24" t="inlineStr">
        <is>
          <t>自设参数</t>
        </is>
      </c>
      <c r="E231" s="3" t="inlineStr">
        <is>
          <t>[P] 需自设：车辆质量（按车型取典型值）</t>
        </is>
      </c>
    </row>
    <row r="232" s="26">
      <c r="A232" s="3" t="inlineStr">
        <is>
          <t>SinD</t>
        </is>
      </c>
      <c r="B232" s="3" t="inlineStr">
        <is>
          <t>delta-V</t>
        </is>
      </c>
      <c r="C232" s="4" t="inlineStr">
        <is>
          <t>◐</t>
        </is>
      </c>
      <c r="D232" s="24" t="inlineStr">
        <is>
          <t>自设参数</t>
        </is>
      </c>
      <c r="E232" s="3" t="inlineStr">
        <is>
          <t>[P] 需自设：车辆质量（按车型取典型值）</t>
        </is>
      </c>
    </row>
    <row r="233" s="26">
      <c r="A233" s="3" t="inlineStr">
        <is>
          <t>INTERACTION</t>
        </is>
      </c>
      <c r="B233" s="3" t="inlineStr">
        <is>
          <t>delta-V</t>
        </is>
      </c>
      <c r="C233" s="5" t="inlineStr">
        <is>
          <t>△</t>
        </is>
      </c>
      <c r="D233" s="24" t="inlineStr">
        <is>
          <t>C6 自设参数</t>
        </is>
      </c>
      <c r="E233" s="3" t="inlineStr">
        <is>
          <t>[C6] 车型/质量：只区分机动车与行人/自行车，不区分货车；[P] 需自设：车辆质量（按车型取典型值）</t>
        </is>
      </c>
    </row>
    <row r="234" s="26">
      <c r="A234" s="3" t="inlineStr">
        <is>
          <t>TGSIM</t>
        </is>
      </c>
      <c r="B234" s="3" t="inlineStr">
        <is>
          <t>delta-V</t>
        </is>
      </c>
      <c r="C234" s="4" t="inlineStr">
        <is>
          <t>◐</t>
        </is>
      </c>
      <c r="D234" s="24" t="inlineStr">
        <is>
          <t>自设参数</t>
        </is>
      </c>
      <c r="E234" s="3" t="inlineStr">
        <is>
          <t>[P] 需自设：车辆质量（按车型取典型值）</t>
        </is>
      </c>
    </row>
    <row r="235" s="26">
      <c r="A235" s="3" t="inlineStr">
        <is>
          <t>nuScenes</t>
        </is>
      </c>
      <c r="B235" s="3" t="inlineStr">
        <is>
          <t>delta-V</t>
        </is>
      </c>
      <c r="C235" s="4" t="inlineStr">
        <is>
          <t>◐</t>
        </is>
      </c>
      <c r="D235" s="24" t="inlineStr">
        <is>
          <t>自设参数</t>
        </is>
      </c>
      <c r="E235" s="3" t="inlineStr">
        <is>
          <t>[P] 需自设：车辆质量（按车型取典型值）</t>
        </is>
      </c>
    </row>
    <row r="236" s="26">
      <c r="A236" s="3" t="inlineStr">
        <is>
          <t>Argoverse 2 传感器</t>
        </is>
      </c>
      <c r="B236" s="3" t="inlineStr">
        <is>
          <t>delta-V</t>
        </is>
      </c>
      <c r="C236" s="4" t="inlineStr">
        <is>
          <t>◐</t>
        </is>
      </c>
      <c r="D236" s="24" t="inlineStr">
        <is>
          <t>自设参数</t>
        </is>
      </c>
      <c r="E236" s="3" t="inlineStr">
        <is>
          <t>[P] 需自设：车辆质量（按车型取典型值）</t>
        </is>
      </c>
    </row>
    <row r="237" s="26">
      <c r="A237" s="3" t="inlineStr">
        <is>
          <t>Waymo 感知</t>
        </is>
      </c>
      <c r="B237" s="3" t="inlineStr">
        <is>
          <t>delta-V</t>
        </is>
      </c>
      <c r="C237" s="5" t="inlineStr">
        <is>
          <t>△</t>
        </is>
      </c>
      <c r="D237" s="24" t="inlineStr">
        <is>
          <t>C6 自设参数</t>
        </is>
      </c>
      <c r="E237" s="3" t="inlineStr">
        <is>
          <t>[C6] 车型/质量：只有车辆、行人、骑车人、标志四类，不区分货车，要按外框尺寸估质量；[P] 需自设：车辆质量（按车型取典型值）</t>
        </is>
      </c>
    </row>
    <row r="238" s="26">
      <c r="A238" s="3" t="inlineStr">
        <is>
          <t>KITTI 跟踪</t>
        </is>
      </c>
      <c r="B238" s="3" t="inlineStr">
        <is>
          <t>delta-V</t>
        </is>
      </c>
      <c r="C238" s="4" t="inlineStr">
        <is>
          <t>◐</t>
        </is>
      </c>
      <c r="D238" s="24" t="inlineStr">
        <is>
          <t>自设参数</t>
        </is>
      </c>
      <c r="E238" s="3" t="inlineStr">
        <is>
          <t>[P] 需自设：车辆质量（按车型取典型值）</t>
        </is>
      </c>
    </row>
    <row r="239" ht="24.9" customHeight="1" s="26">
      <c r="A239" s="3" t="inlineStr">
        <is>
          <t>PandaSet</t>
        </is>
      </c>
      <c r="B239" s="3" t="inlineStr">
        <is>
          <t>delta-V</t>
        </is>
      </c>
      <c r="C239" s="4" t="inlineStr">
        <is>
          <t>◐</t>
        </is>
      </c>
      <c r="D239" s="24" t="inlineStr">
        <is>
          <t>自设参数</t>
        </is>
      </c>
      <c r="E239" s="3" t="inlineStr">
        <is>
          <t>[P] 需自设：车辆质量（按车型取典型值）</t>
        </is>
      </c>
    </row>
    <row r="240" s="26">
      <c r="A240" s="3" t="inlineStr">
        <is>
          <t>nuPlan</t>
        </is>
      </c>
      <c r="B240" s="3" t="inlineStr">
        <is>
          <t>delta-V</t>
        </is>
      </c>
      <c r="C240" s="5" t="inlineStr">
        <is>
          <t>△</t>
        </is>
      </c>
      <c r="D240" s="24" t="inlineStr">
        <is>
          <t>C6 自设参数</t>
        </is>
      </c>
      <c r="E240" s="3" t="inlineStr">
        <is>
          <t>[C6] 车型/质量：物体类别只有"车辆"，不区分轿车和货车，要按外框尺寸估质量；[P] 需自设：车辆质量（按车型取典型值）</t>
        </is>
      </c>
    </row>
    <row r="241" s="26">
      <c r="A241" s="3" t="inlineStr">
        <is>
          <t>Waymo 运动预测</t>
        </is>
      </c>
      <c r="B241" s="3" t="inlineStr">
        <is>
          <t>delta-V</t>
        </is>
      </c>
      <c r="C241" s="5" t="inlineStr">
        <is>
          <t>△</t>
        </is>
      </c>
      <c r="D241" s="24" t="inlineStr">
        <is>
          <t>C6 自设参数</t>
        </is>
      </c>
      <c r="E241" s="3" t="inlineStr">
        <is>
          <t>[C6] 车型/质量：只分车辆、行人、骑车人，不区分货车；[P] 需自设：车辆质量（按车型取典型值）</t>
        </is>
      </c>
    </row>
    <row r="242" ht="24.9" customHeight="1" s="26">
      <c r="A242" s="3" t="inlineStr">
        <is>
          <t>DeepAccident（仿真）</t>
        </is>
      </c>
      <c r="B242" s="3" t="inlineStr">
        <is>
          <t>delta-V</t>
        </is>
      </c>
      <c r="C242" s="4" t="inlineStr">
        <is>
          <t>◐</t>
        </is>
      </c>
      <c r="D242" s="24" t="inlineStr">
        <is>
          <t>自设参数</t>
        </is>
      </c>
      <c r="E242" s="3" t="inlineStr">
        <is>
          <t>[P] 需自设：车辆质量（按车型取典型值）</t>
        </is>
      </c>
    </row>
    <row r="243" s="26">
      <c r="A243" s="3" t="inlineStr">
        <is>
          <t>Waymo WOD-E2E</t>
        </is>
      </c>
      <c r="B243" s="3" t="inlineStr">
        <is>
          <t>delta-V</t>
        </is>
      </c>
      <c r="C243" s="7" t="inlineStr">
        <is>
          <t>◇</t>
        </is>
      </c>
      <c r="D243" s="24" t="inlineStr">
        <is>
          <t>需 CV 重建</t>
        </is>
      </c>
      <c r="E243" s="3" t="inlineStr">
        <is>
          <t>数据里没有周围物体的 3D 轨迹，需先用 CV（3D 检测/单目深度）从画面重建，误差大</t>
        </is>
      </c>
    </row>
    <row r="244" s="26">
      <c r="A244" s="3" t="inlineStr">
        <is>
          <t>Nexar / DoTA / CCD</t>
        </is>
      </c>
      <c r="B244" s="3" t="inlineStr">
        <is>
          <t>delta-V</t>
        </is>
      </c>
      <c r="C244" s="7" t="inlineStr">
        <is>
          <t>◇</t>
        </is>
      </c>
      <c r="D244" s="24" t="inlineStr">
        <is>
          <t>需 CV 重建</t>
        </is>
      </c>
      <c r="E244" s="3" t="inlineStr">
        <is>
          <t>数据里没有周围物体的 3D 轨迹，需先用 CV（3D 检测/单目深度）从画面重建，误差大</t>
        </is>
      </c>
    </row>
    <row r="245" s="26">
      <c r="A245" s="3" t="inlineStr">
        <is>
          <t>100-Car 公开部分</t>
        </is>
      </c>
      <c r="B245" s="3" t="inlineStr">
        <is>
          <t>delta-V</t>
        </is>
      </c>
      <c r="C245" s="5" t="inlineStr">
        <is>
          <t>△</t>
        </is>
      </c>
      <c r="D245" s="24" t="inlineStr">
        <is>
          <t>C6 自设参数</t>
        </is>
      </c>
      <c r="E245" s="3" t="inlineStr">
        <is>
          <t>[C6] 车型/质量：前车车型未知，按小汽车估质量；[P] 需自设：车辆质量（按车型取典型值）</t>
        </is>
      </c>
    </row>
    <row r="246" s="26"/>
    <row r="247" s="26"/>
    <row r="248" s="26"/>
    <row r="249" s="26"/>
    <row r="250" s="26"/>
    <row r="251" s="26"/>
    <row r="252" s="26"/>
    <row r="253" s="26"/>
    <row r="254" s="26"/>
    <row r="255" s="26"/>
    <row r="256" s="26"/>
    <row r="257" s="26"/>
    <row r="258" s="26"/>
    <row r="259" s="26"/>
    <row r="260" s="26"/>
    <row r="261" s="26"/>
    <row r="262" s="26"/>
    <row r="263" s="26"/>
    <row r="264" s="26"/>
    <row r="265" s="26"/>
    <row r="266" s="26"/>
    <row r="267" s="26"/>
    <row r="268" s="26"/>
    <row r="269" s="26"/>
    <row r="270" s="26"/>
    <row r="271" s="26"/>
    <row r="272" s="26"/>
    <row r="273" s="26"/>
    <row r="274" s="26"/>
    <row r="275" s="26"/>
    <row r="276" s="26"/>
    <row r="277" s="26"/>
    <row r="278" s="26"/>
    <row r="279" s="26"/>
    <row r="280" s="26"/>
    <row r="281" s="26"/>
    <row r="282" s="26"/>
    <row r="283" s="26"/>
    <row r="284" s="26"/>
    <row r="285" s="26"/>
    <row r="286" s="26"/>
    <row r="287" s="26"/>
    <row r="288" s="26"/>
    <row r="289" s="26"/>
    <row r="290" s="26"/>
    <row r="291" s="26"/>
    <row r="292" s="26"/>
    <row r="293" s="26"/>
    <row r="294" s="26"/>
    <row r="295" s="26"/>
    <row r="296" s="26"/>
    <row r="297" s="26"/>
    <row r="298" s="26"/>
    <row r="299" s="26"/>
    <row r="300" s="26"/>
    <row r="301" s="26"/>
    <row r="302" s="26"/>
    <row r="303" s="26"/>
    <row r="304" s="26"/>
    <row r="305" s="26"/>
    <row r="306" s="26"/>
    <row r="307" s="26"/>
    <row r="308" s="26"/>
    <row r="309" s="26"/>
    <row r="310" s="26"/>
    <row r="311" s="26"/>
    <row r="312" s="26"/>
    <row r="313" s="26"/>
    <row r="314" s="26"/>
    <row r="315" s="26"/>
    <row r="316" s="26"/>
    <row r="317" s="26"/>
    <row r="318" s="26"/>
    <row r="319" s="26"/>
    <row r="320" s="26"/>
    <row r="321" s="26"/>
  </sheetData>
  <autoFilter ref="A2:E24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15"/>
  <cols>
    <col width="20" customWidth="1" style="26" min="1" max="1"/>
    <col width="14" customWidth="1" style="26" min="2" max="2"/>
    <col width="34" customWidth="1" style="26" min="3" max="3"/>
    <col width="28" customWidth="1" style="26" min="4" max="4"/>
    <col width="9" customWidth="1" style="26" min="5" max="5"/>
    <col width="46" customWidth="1" style="26" min="6" max="6"/>
    <col width="11" customWidth="1" style="26" min="7" max="7"/>
    <col width="20" customWidth="1" style="26" min="8" max="8"/>
    <col width="40" customWidth="1" style="26" min="9" max="9"/>
    <col width="26" customWidth="1" style="26" min="10" max="10"/>
  </cols>
  <sheetData>
    <row r="1">
      <c r="A1" s="12" t="inlineStr">
        <is>
          <t>数据集</t>
        </is>
      </c>
      <c r="B1" s="12" t="inlineStr">
        <is>
          <t>类型</t>
        </is>
      </c>
      <c r="C1" s="12" t="inlineStr">
        <is>
          <t>场景</t>
        </is>
      </c>
      <c r="D1" s="12" t="inlineStr">
        <is>
          <t>图像 / 视频</t>
        </is>
      </c>
      <c r="E1" s="12" t="inlineStr">
        <is>
          <t>频率</t>
        </is>
      </c>
      <c r="F1" s="12" t="inlineStr">
        <is>
          <t>主要字段 / 特点</t>
        </is>
      </c>
      <c r="G1" s="12" t="inlineStr">
        <is>
          <t>危险场景</t>
        </is>
      </c>
      <c r="H1" s="12" t="inlineStr">
        <is>
          <t>获取方式 / 许可</t>
        </is>
      </c>
      <c r="I1" s="12" t="inlineStr">
        <is>
          <t>链接</t>
        </is>
      </c>
      <c r="J1" s="12" t="inlineStr">
        <is>
          <t>未核实 / 注意</t>
        </is>
      </c>
    </row>
    <row r="2" ht="23.15" customHeight="1" s="26">
      <c r="A2" s="14" t="inlineStr">
        <is>
          <t>CitySim</t>
        </is>
      </c>
      <c r="B2" s="15" t="inlineStr">
        <is>
          <t>无人机俯拍</t>
        </is>
      </c>
      <c r="C2" s="15" t="inlineStr">
        <is>
          <t>高速交织、汇入汇出；信号路口；环岛（论文称 12 处）</t>
        </is>
      </c>
      <c r="D2" s="15" t="inlineStr">
        <is>
          <t>航拍背景图、车道图、信号配时；原始视频是否公开未说明</t>
        </is>
      </c>
      <c r="E2" s="15" t="inlineStr">
        <is>
          <t>30 Hz</t>
        </is>
      </c>
      <c r="F2" s="15" t="inlineStr">
        <is>
          <t>旋转外框四角、中心、车头车尾、速度（mph）、朝向、车道编号；没有加速度和车型字段；附 SUMO/CARLA 模型</t>
        </is>
      </c>
      <c r="G2" s="15" t="inlineStr">
        <is>
          <t>较多</t>
        </is>
      </c>
      <c r="H2" s="15" t="inlineStr">
        <is>
          <t>GitHub + 申请表</t>
        </is>
      </c>
      <c r="I2" s="15" t="inlineStr">
        <is>
          <t>https://github.com/ozheng1993/UCF-SST-CitySim-Dataset</t>
        </is>
      </c>
      <c r="J2" s="15" t="inlineStr">
        <is>
          <t>第三方文档只收到 9 处的数据</t>
        </is>
      </c>
    </row>
    <row r="3" ht="34.75" customHeight="1" s="26">
      <c r="A3" s="14" t="inlineStr">
        <is>
          <t>NGSIM</t>
        </is>
      </c>
      <c r="B3" s="15" t="inlineStr">
        <is>
          <t>路侧高楼摄像头</t>
        </is>
      </c>
      <c r="C3" s="15" t="inlineStr">
        <is>
          <t>US-101、I-80（高速）；Lankershim、Peachtree（城市路口）</t>
        </is>
      </c>
      <c r="D3" s="15" t="inlineStr">
        <is>
          <t>✓ 原始视频可下载</t>
        </is>
      </c>
      <c r="E3" s="15" t="inlineStr">
        <is>
          <t>10 Hz</t>
        </is>
      </c>
      <c r="F3" s="15" t="inlineStr">
        <is>
          <t>位置、长宽、车型、速度、加速度、车道、前后车编号、车头间距/时距；没有朝向；轨迹噪声大</t>
        </is>
      </c>
      <c r="G3" s="15" t="inlineStr">
        <is>
          <t>少</t>
        </is>
      </c>
      <c r="H3" s="15" t="inlineStr">
        <is>
          <t>美国交通部公开数据，直接下载</t>
        </is>
      </c>
      <c r="I3" s="15" t="inlineStr">
        <is>
          <t>https://catalog.data.gov/dataset/next-generation-simulation-ngsim-vehicle-trajectories-and-supporting-data</t>
        </is>
      </c>
      <c r="J3" s="15" t="inlineStr">
        <is>
          <t>2005–2006 年数据</t>
        </is>
      </c>
    </row>
    <row r="4" ht="23.15" customHeight="1" s="26">
      <c r="A4" s="14" t="inlineStr">
        <is>
          <t>highD</t>
        </is>
      </c>
      <c r="B4" s="15" t="inlineStr">
        <is>
          <t>无人机俯拍</t>
        </is>
      </c>
      <c r="C4" s="15" t="inlineStr">
        <is>
          <t>德国高速 6 处，约 16.5 小时</t>
        </is>
      </c>
      <c r="D4" s="15" t="inlineStr">
        <is>
          <t>每段录像一张航拍背景图</t>
        </is>
      </c>
      <c r="E4" s="15" t="inlineStr">
        <is>
          <t>25 Hz</t>
        </is>
      </c>
      <c r="F4" s="15" t="inlineStr">
        <is>
          <t>位置、长宽、车型（轿车/货车）、速度、加速度、车道、前后车编号，已算好 DHW/THW/TTC</t>
        </is>
      </c>
      <c r="G4" s="15" t="inlineStr">
        <is>
          <t>很少（无碰撞）</t>
        </is>
      </c>
      <c r="H4" s="15" t="inlineStr">
        <is>
          <t>官网申请，限非商业</t>
        </is>
      </c>
      <c r="I4" s="15" t="inlineStr">
        <is>
          <t>https://www.highd-dataset.com/</t>
        </is>
      </c>
      <c r="J4" s="15" t="inlineStr">
        <is>
          <t>原始视频不在公开包里（据文件说明推断）</t>
        </is>
      </c>
    </row>
    <row r="5">
      <c r="A5" s="14" t="inlineStr">
        <is>
          <t>exiD</t>
        </is>
      </c>
      <c r="B5" s="15" t="inlineStr">
        <is>
          <t>无人机俯拍</t>
        </is>
      </c>
      <c r="C5" s="15" t="inlineStr">
        <is>
          <t>德国高速出入口</t>
        </is>
      </c>
      <c r="D5" s="15" t="inlineStr">
        <is>
          <t>每段录像一张航拍背景图</t>
        </is>
      </c>
      <c r="E5" s="15" t="inlineStr">
        <is>
          <t>25 Hz</t>
        </is>
      </c>
      <c r="F5" s="15" t="inlineStr">
        <is>
          <t>朝向、纵横向速度和加速度、lanelet 地图</t>
        </is>
      </c>
      <c r="G5" s="15" t="inlineStr">
        <is>
          <t>少</t>
        </is>
      </c>
      <c r="H5" s="15" t="inlineStr">
        <is>
          <t>官网申请，限非商业</t>
        </is>
      </c>
      <c r="I5" s="15" t="inlineStr">
        <is>
          <t>https://www.exid-dataset.com/</t>
        </is>
      </c>
      <c r="J5" s="15" t="n"/>
    </row>
    <row r="6" ht="23.15" customHeight="1" s="26">
      <c r="A6" s="14" t="inlineStr">
        <is>
          <t>inD / rounD</t>
        </is>
      </c>
      <c r="B6" s="15" t="inlineStr">
        <is>
          <t>无人机俯拍</t>
        </is>
      </c>
      <c r="C6" s="15" t="inlineStr">
        <is>
          <t>德国路口（inD）、环岛（rounD）</t>
        </is>
      </c>
      <c r="D6" s="15" t="inlineStr">
        <is>
          <t>每段录像一张航拍背景图</t>
        </is>
      </c>
      <c r="E6" s="15" t="inlineStr">
        <is>
          <t>25 Hz</t>
        </is>
      </c>
      <c r="F6" s="15" t="inlineStr">
        <is>
          <t>朝向、长宽、速度、加速度、车型（inD 含行人、自行车）、地图</t>
        </is>
      </c>
      <c r="G6" s="15" t="inlineStr">
        <is>
          <t>少</t>
        </is>
      </c>
      <c r="H6" s="15" t="inlineStr">
        <is>
          <t>官网申请，限非商业</t>
        </is>
      </c>
      <c r="I6" s="15" t="inlineStr">
        <is>
          <t>https://www.ind-dataset.com/ ; https://www.round-dataset.com/</t>
        </is>
      </c>
      <c r="J6" s="15" t="n"/>
    </row>
    <row r="7" ht="23.15" customHeight="1" s="26">
      <c r="A7" s="14" t="inlineStr">
        <is>
          <t>SinD</t>
        </is>
      </c>
      <c r="B7" s="15" t="inlineStr">
        <is>
          <t>无人机俯拍（4K）</t>
        </is>
      </c>
      <c r="C7" s="15" t="inlineStr">
        <is>
          <t>中国信号路口（已发布 4 个城市）</t>
        </is>
      </c>
      <c r="D7" s="15" t="inlineStr">
        <is>
          <t>公开包是否含视频未确认</t>
        </is>
      </c>
      <c r="E7" s="15" t="inlineStr">
        <is>
          <t>—</t>
        </is>
      </c>
      <c r="F7" s="15" t="inlineStr">
        <is>
          <t>轨迹、朝向、长宽、速度、加速度、信号灯状态、高精地图；非机动车多</t>
        </is>
      </c>
      <c r="G7" s="15" t="inlineStr">
        <is>
          <t>中</t>
        </is>
      </c>
      <c r="H7" s="15" t="inlineStr">
        <is>
          <t>用学校邮箱申请，限非商业</t>
        </is>
      </c>
      <c r="I7" s="15" t="inlineStr">
        <is>
          <t>https://github.com/SOTIF-AVLab/SinD</t>
        </is>
      </c>
      <c r="J7" s="15" t="inlineStr">
        <is>
          <t>字段和频率未逐项核实</t>
        </is>
      </c>
    </row>
    <row r="8" ht="23.15" customHeight="1" s="26">
      <c r="A8" s="14" t="inlineStr">
        <is>
          <t>INTERACTION</t>
        </is>
      </c>
      <c r="B8" s="15" t="inlineStr">
        <is>
          <t>无人机 / 路侧</t>
        </is>
      </c>
      <c r="C8" s="15" t="inlineStr">
        <is>
          <t>路口、环岛、汇入</t>
        </is>
      </c>
      <c r="D8" s="15" t="inlineStr">
        <is>
          <t>没查到公开视频</t>
        </is>
      </c>
      <c r="E8" s="15" t="inlineStr">
        <is>
          <t>10 Hz</t>
        </is>
      </c>
      <c r="F8" s="15" t="inlineStr">
        <is>
          <t>车辆：位置、速度、朝向、长宽；行人/自行车：位置、速度；lanelet2 地图</t>
        </is>
      </c>
      <c r="G8" s="15" t="inlineStr">
        <is>
          <t>中</t>
        </is>
      </c>
      <c r="H8" s="15" t="inlineStr">
        <is>
          <t>申请</t>
        </is>
      </c>
      <c r="I8" s="15" t="inlineStr">
        <is>
          <t>https://interaction-dataset.com/</t>
        </is>
      </c>
      <c r="J8" s="15" t="n"/>
    </row>
    <row r="9" ht="34.75" customHeight="1" s="26">
      <c r="A9" s="14" t="inlineStr">
        <is>
          <t>TGSIM</t>
        </is>
      </c>
      <c r="B9" s="15" t="inlineStr">
        <is>
          <t>直升机 / 路侧多相机</t>
        </is>
      </c>
      <c r="C9" s="15" t="inlineStr">
        <is>
          <t>I-294 自动驾驶车队（L1/L2）、I-90/94、I-395、Foggy Bottom 路口（行人、自行车、滑板车）</t>
        </is>
      </c>
      <c r="D9" s="15" t="inlineStr">
        <is>
          <t>只有参考图像</t>
        </is>
      </c>
      <c r="E9" s="15" t="inlineStr">
        <is>
          <t>—</t>
        </is>
      </c>
      <c r="F9" s="15" t="inlineStr">
        <is>
          <t>轨迹；含自动驾驶车、公交、货车、行人等类型</t>
        </is>
      </c>
      <c r="G9" s="15" t="inlineStr">
        <is>
          <t>少</t>
        </is>
      </c>
      <c r="H9" s="15" t="inlineStr">
        <is>
          <t>CC0 公开，直接下载</t>
        </is>
      </c>
      <c r="I9" s="15" t="inlineStr">
        <is>
          <t>https://catalog.data.gov/dataset/third-generation-simulation-data-tgsim</t>
        </is>
      </c>
      <c r="J9" s="15" t="inlineStr">
        <is>
          <t>加速度、朝向、频率等字段未逐项核实</t>
        </is>
      </c>
    </row>
    <row r="10" ht="57.9" customHeight="1" s="26">
      <c r="A10" s="14" t="inlineStr">
        <is>
          <t>nuScenes</t>
        </is>
      </c>
      <c r="B10" s="15" t="inlineStr">
        <is>
          <t>自车视角</t>
        </is>
      </c>
      <c r="C10" s="15" t="inlineStr">
        <is>
          <t>波士顿、新加坡，1,000 段 × 20 秒（约 5.6 小时）</t>
        </is>
      </c>
      <c r="D10" s="15" t="inlineStr">
        <is>
          <t>✓ 自车 6 相机（约 12 Hz）</t>
        </is>
      </c>
      <c r="E10" s="15" t="inlineStr">
        <is>
          <t>3D 框 2 Hz（关键帧）</t>
        </is>
      </c>
      <c r="F10" s="15" t="inlineStr">
        <is>
          <t>23 类物体（轿车、货车、两种公交、工程车、拖车、摩托、自行车、多种行人等）；3D 框带跟踪编号；官方 box_velocity 函数用前后两帧中心差分算速度；CAN 总线（IMU 100 Hz、位姿 50 Hz、刹车/油门/方向传感器约 800–970 Hz、车速 2 Hz）；雷达带速度；地图扩展包</t>
        </is>
      </c>
      <c r="G10" s="15" t="inlineStr">
        <is>
          <t>少</t>
        </is>
      </c>
      <c r="H10" s="15" t="inlineStr">
        <is>
          <t>注册，限非商业</t>
        </is>
      </c>
      <c r="I10" s="15" t="inlineStr">
        <is>
          <t>https://www.nuscenes.org/</t>
        </is>
      </c>
      <c r="J10" s="15" t="inlineStr">
        <is>
          <t>有 21 段场景没有 CAN 总线数据（官方工具包黑名单）；整个场景的最小 TTC 在 2 Hz 下会被高估，需插值</t>
        </is>
      </c>
    </row>
    <row r="11" ht="34.75" customHeight="1" s="26">
      <c r="A11" s="14" t="inlineStr">
        <is>
          <t>Argoverse 2 传感器</t>
        </is>
      </c>
      <c r="B11" s="15" t="inlineStr">
        <is>
          <t>自车视角</t>
        </is>
      </c>
      <c r="C11" s="15" t="inlineStr">
        <is>
          <t>美国 6 个城市，1,000 段 × 约 15 秒（共 4.2 小时）</t>
        </is>
      </c>
      <c r="D11" s="15" t="inlineStr">
        <is>
          <t>✓ 自车 7 环视 + 2 双目相机（2048×1550，20 Hz）</t>
        </is>
      </c>
      <c r="E11" s="15" t="inlineStr">
        <is>
          <t>3D 框 10 Hz</t>
        </is>
      </c>
      <c r="F11" s="15" t="inlineStr">
        <is>
          <t>人工标注 3D 框 30 类（含货车、公交、拖车等），只标可行驶区域 5 米内的物体；自车 6 自由度位姿；每段一张本地地图；人脸和车牌已模糊</t>
        </is>
      </c>
      <c r="G11" s="15" t="inlineStr">
        <is>
          <t>少</t>
        </is>
      </c>
      <c r="H11" s="15" t="inlineStr">
        <is>
          <t>CC BY-NC-SA 4.0；解压后约 1 TB</t>
        </is>
      </c>
      <c r="I11" s="15" t="inlineStr">
        <is>
          <t>https://argoverse.github.io/user-guide/datasets/sensor.html</t>
        </is>
      </c>
      <c r="J11" s="15" t="inlineStr">
        <is>
          <t>1,000 段里测试集占 150 段</t>
        </is>
      </c>
    </row>
    <row r="12" ht="23.15" customHeight="1" s="26">
      <c r="A12" s="14" t="inlineStr">
        <is>
          <t>Waymo 感知</t>
        </is>
      </c>
      <c r="B12" s="15" t="inlineStr">
        <is>
          <t>自车视角</t>
        </is>
      </c>
      <c r="C12" s="15" t="inlineStr">
        <is>
          <t>美国，2,030 段 × 20 秒（约 11 小时）</t>
        </is>
      </c>
      <c r="D12" s="15" t="inlineStr">
        <is>
          <t>✓ 自车 5 相机（前方和两侧）</t>
        </is>
      </c>
      <c r="E12" s="15" t="inlineStr">
        <is>
          <t>10 Hz</t>
        </is>
      </c>
      <c r="F12" s="15" t="inlineStr">
        <is>
          <t>人工标注 3D 框带跟踪编号，只有车辆、行人、骑车人、标志四类；每个物体自带速度和加速度（全局坐标系）；自车速度随每张相机图给出；每个物体标了在哪个相机里最清楚；另有独立标注的 2D 相机框</t>
        </is>
      </c>
      <c r="G12" s="15" t="inlineStr">
        <is>
          <t>少</t>
        </is>
      </c>
      <c r="H12" s="15" t="inlineStr">
        <is>
          <t>注册，限非商业</t>
        </is>
      </c>
      <c r="I12" s="15" t="inlineStr">
        <is>
          <t>https://waymo.com/open/</t>
        </is>
      </c>
      <c r="J12" s="15" t="inlineStr">
        <is>
          <t>v1.4.3（TFRecord）带地图，v2.0.1（parquet）不带地图；只有前方和两侧相机；官方 Python 包只有 Linux 版，v2.0.1 用 pandas 可直接读</t>
        </is>
      </c>
    </row>
    <row r="13" ht="23.15" customHeight="1" s="26">
      <c r="A13" s="14" t="inlineStr">
        <is>
          <t>KITTI 跟踪</t>
        </is>
      </c>
      <c r="B13" s="15" t="inlineStr">
        <is>
          <t>自车视角</t>
        </is>
      </c>
      <c r="C13" s="15" t="inlineStr">
        <is>
          <t>德国卡尔斯鲁厄（2011），21 段训练序列（约 8,000 帧）</t>
        </is>
      </c>
      <c r="D13" s="15" t="inlineStr">
        <is>
          <t>✓ 自车前向双目相机</t>
        </is>
      </c>
      <c r="E13" s="15" t="inlineStr">
        <is>
          <t>10 Hz</t>
        </is>
      </c>
      <c r="F13" s="15" t="inlineStr">
        <is>
          <t>3D 框带跟踪编号、自车 GPS/IMU（直接给速度和加速度）；没有地图</t>
        </is>
      </c>
      <c r="G13" s="15" t="inlineStr">
        <is>
          <t>少</t>
        </is>
      </c>
      <c r="H13" s="15" t="inlineStr">
        <is>
          <t>CC BY-NC-SA 3.0</t>
        </is>
      </c>
      <c r="I13" s="15" t="inlineStr">
        <is>
          <t>https://www.cvlibs.net/datasets/kitti/eval_tracking.php</t>
        </is>
      </c>
      <c r="J13" s="15" t="n"/>
    </row>
    <row r="14">
      <c r="A14" s="14" t="inlineStr">
        <is>
          <t>PandaSet</t>
        </is>
      </c>
      <c r="B14" s="15" t="inlineStr">
        <is>
          <t>自车视角</t>
        </is>
      </c>
      <c r="C14" s="15" t="inlineStr">
        <is>
          <t>旧金山，103 段 × 8 秒（约 14 分钟）</t>
        </is>
      </c>
      <c r="D14" s="15" t="inlineStr">
        <is>
          <t>✓ 自车 6 相机（1920×1080）</t>
        </is>
      </c>
      <c r="E14" s="15" t="inlineStr">
        <is>
          <t>10 Hz</t>
        </is>
      </c>
      <c r="F14" s="15" t="inlineStr">
        <is>
          <t>每帧人工 3D 框（28 类）、自车位姿；没有高精地图</t>
        </is>
      </c>
      <c r="G14" s="15" t="inlineStr">
        <is>
          <t>少</t>
        </is>
      </c>
      <c r="H14" s="15" t="inlineStr">
        <is>
          <t>研究和商用都免费</t>
        </is>
      </c>
      <c r="I14" s="15" t="inlineStr">
        <is>
          <t>https://scale.com/open-datasets/pandaset</t>
        </is>
      </c>
      <c r="J14" s="15" t="inlineStr">
        <is>
          <t>官方下载链接有人反映失效</t>
        </is>
      </c>
    </row>
    <row r="15" ht="57.9" customHeight="1" s="26">
      <c r="A15" s="14" t="inlineStr">
        <is>
          <t>nuPlan</t>
        </is>
      </c>
      <c r="B15" s="15" t="inlineStr">
        <is>
          <t>自车视角</t>
        </is>
      </c>
      <c r="C15" s="15" t="inlineStr">
        <is>
          <t>4 个城市共 1,312 小时、16,733 段记录（拉斯维加斯占 64%）</t>
        </is>
      </c>
      <c r="D15" s="15" t="inlineStr">
        <is>
          <t>✓ 自车 8 相机（约 10% 的记录有传感器数据，约 128 小时）</t>
        </is>
      </c>
      <c r="E15" s="15" t="inlineStr">
        <is>
          <t>20 Hz（轨迹和自车，官网数据说明）</t>
        </is>
      </c>
      <c r="F15" s="15" t="inlineStr">
        <is>
          <t>自动标注的物体轨迹（类别：车辆、自行车、行人、锥桶、护栏、施工牌、其他）；信号灯状态；路线；地图；75 类场景标签（动态 5、交互 18、区域 8、操作 22、行为 22）；自带 TTC、可行驶区域等评价指标</t>
        </is>
      </c>
      <c r="G15" s="15" t="inlineStr">
        <is>
          <t>少（但总量大，可按场景标签筛）</t>
        </is>
      </c>
      <c r="H15" s="15" t="inlineStr">
        <is>
          <t>注册；轨迹数据库（v1.0）mini 8.25 GB、val 93.65 GB、test 89.24 GB、train 约 286 GB；传感器数据另行下载</t>
        </is>
      </c>
      <c r="I15" s="15" t="inlineStr">
        <is>
          <t>https://www.nuscenes.org/nuplan</t>
        </is>
      </c>
      <c r="J15" s="15" t="inlineStr">
        <is>
          <t>轨迹平均只有 9.64 秒，较长的交互可能被切成几段；车辆不分车型</t>
        </is>
      </c>
    </row>
    <row r="16" ht="23.15" customHeight="1" s="26">
      <c r="A16" s="14" t="inlineStr">
        <is>
          <t>Waymo 运动预测</t>
        </is>
      </c>
      <c r="B16" s="15" t="inlineStr">
        <is>
          <t>自车视角</t>
        </is>
      </c>
      <c r="C16" s="15" t="inlineStr">
        <is>
          <t>美国，约 10 万段</t>
        </is>
      </c>
      <c r="D16" s="15" t="inlineStr">
        <is>
          <t>没有原始图像（只有相机特征向量）</t>
        </is>
      </c>
      <c r="E16" s="15" t="inlineStr">
        <is>
          <t>10 Hz</t>
        </is>
      </c>
      <c r="F16" s="15" t="inlineStr">
        <is>
          <t>3D 框（朝向、长宽、速度）、地图、信号灯；专门挑选了交互场景</t>
        </is>
      </c>
      <c r="G16" s="15" t="inlineStr">
        <is>
          <t>中</t>
        </is>
      </c>
      <c r="H16" s="15" t="inlineStr">
        <is>
          <t>注册，限非商业</t>
        </is>
      </c>
      <c r="I16" s="15" t="inlineStr">
        <is>
          <t>https://waymo.com/open/</t>
        </is>
      </c>
      <c r="J16" s="15" t="n"/>
    </row>
    <row r="17" ht="23.15" customHeight="1" s="26">
      <c r="A17" s="14" t="inlineStr">
        <is>
          <t>DeepAccident（仿真）</t>
        </is>
      </c>
      <c r="B17" s="15" t="inlineStr">
        <is>
          <t>仿真</t>
        </is>
      </c>
      <c r="C17" s="15" t="inlineStr">
        <is>
          <t>12 类路口碰撞场景（按 NHTSA 事故类型设计）</t>
        </is>
      </c>
      <c r="D17" s="15" t="inlineStr">
        <is>
          <t>✓ 多车视角相机 + 路侧</t>
        </is>
      </c>
      <c r="E17" s="15" t="inlineStr">
        <is>
          <t>—</t>
        </is>
      </c>
      <c r="F17" s="15" t="inlineStr">
        <is>
          <t>3D 标注；约 5.7 万帧；有真实发生的碰撞</t>
        </is>
      </c>
      <c r="G17" s="15" t="inlineStr">
        <is>
          <t>多（仿真）</t>
        </is>
      </c>
      <c r="H17" s="15" t="inlineStr">
        <is>
          <t>公开</t>
        </is>
      </c>
      <c r="I17" s="15" t="inlineStr">
        <is>
          <t>https://arxiv.org/abs/2304.01168</t>
        </is>
      </c>
      <c r="J17" s="15" t="inlineStr">
        <is>
          <t>帧率、场景长度未核实</t>
        </is>
      </c>
    </row>
    <row r="18">
      <c r="A18" s="14" t="inlineStr">
        <is>
          <t>Waymo WOD-E2E</t>
        </is>
      </c>
      <c r="B18" s="15" t="inlineStr">
        <is>
          <t>自车视角</t>
        </is>
      </c>
      <c r="C18" s="15" t="inlineStr">
        <is>
          <t>4,021 段罕见困难场景，约 12 小时</t>
        </is>
      </c>
      <c r="D18" s="15" t="inlineStr">
        <is>
          <t>✓ 自车 8 相机</t>
        </is>
      </c>
      <c r="E18" s="15" t="inlineStr">
        <is>
          <t>—</t>
        </is>
      </c>
      <c r="F18" s="15" t="inlineStr">
        <is>
          <t>自车状态、路线；摘要未提到周围物体 3D 框</t>
        </is>
      </c>
      <c r="G18" s="15" t="inlineStr">
        <is>
          <t>多</t>
        </is>
      </c>
      <c r="H18" s="15" t="inlineStr">
        <is>
          <t>注册，限非商业</t>
        </is>
      </c>
      <c r="I18" s="15" t="inlineStr">
        <is>
          <t>https://arxiv.org/abs/2510.26125</t>
        </is>
      </c>
      <c r="J18" s="15" t="inlineStr">
        <is>
          <t>是否含周围物体标注未确认</t>
        </is>
      </c>
    </row>
    <row r="19" ht="34.75" customHeight="1" s="26">
      <c r="A19" s="14" t="inlineStr">
        <is>
          <t>Nexar / DoTA / CCD</t>
        </is>
      </c>
      <c r="B19" s="15" t="inlineStr">
        <is>
          <t>行车记录仪</t>
        </is>
      </c>
      <c r="C19" s="15" t="inlineStr">
        <is>
          <t>Nexar 1,500 段（碰撞/险情/正常）；DoTA 4,677 段异常；CCD 1,500 段事故 + 3,000 段正常</t>
        </is>
      </c>
      <c r="D19" s="15" t="inlineStr">
        <is>
          <t>✓ 视频</t>
        </is>
      </c>
      <c r="E19" s="15" t="inlineStr">
        <is>
          <t>—</t>
        </is>
      </c>
      <c r="F19" s="15" t="inlineStr">
        <is>
          <t>只有画面；Nexar 标了事件时刻和"最早可预判"时刻；DoTA 有异常物体的 2D 跟踪框</t>
        </is>
      </c>
      <c r="G19" s="15" t="inlineStr">
        <is>
          <t>多（真实）</t>
        </is>
      </c>
      <c r="H19" s="15" t="inlineStr">
        <is>
          <t>公开</t>
        </is>
      </c>
      <c r="I19" s="15" t="inlineStr">
        <is>
          <t>https://arxiv.org/abs/2503.03848 ; https://github.com/MoonBlvd/Detection-of-Traffic-Anomaly</t>
        </is>
      </c>
      <c r="J19" s="15" t="n"/>
    </row>
    <row r="20" ht="23.15" customHeight="1" s="26">
      <c r="A20" s="14" t="inlineStr">
        <is>
          <t>100-Car 公开部分</t>
        </is>
      </c>
      <c r="B20" s="15" t="inlineStr">
        <is>
          <t>自然驾驶（车载）</t>
        </is>
      </c>
      <c r="C20" s="15" t="inlineStr">
        <is>
          <t>60 起碰撞 + 768 起险情</t>
        </is>
      </c>
      <c r="D20" s="15" t="inlineStr">
        <is>
          <t>无（视频不公开）</t>
        </is>
      </c>
      <c r="E20" s="15" t="inlineStr">
        <is>
          <t>—</t>
        </is>
      </c>
      <c r="F20" s="15" t="inlineStr">
        <is>
          <t>每个事件的时间序列：加速度、横摆角速度、踏板、雷达测前车距离和相对速度、车道线</t>
        </is>
      </c>
      <c r="G20" s="15" t="inlineStr">
        <is>
          <t>多（真实）</t>
        </is>
      </c>
      <c r="H20" s="15" t="inlineStr">
        <is>
          <t>VTTI 网站</t>
        </is>
      </c>
      <c r="I20" s="15" t="inlineStr">
        <is>
          <t>https://www.vtti.vt.edu/PDFs/NDRS-abstracts/FINAL_Dozza_SAFER100Car.pdf</t>
        </is>
      </c>
      <c r="J20" s="15" t="inlineStr">
        <is>
          <t>访问网址来自会议摘要，未核实是否仍可用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15"/>
  <cols>
    <col width="13" customWidth="1" style="26" min="1" max="1"/>
    <col width="34" customWidth="1" style="26" min="2" max="2"/>
    <col width="16" customWidth="1" style="26" min="3" max="3"/>
    <col width="9" customWidth="1" style="26" min="4" max="4"/>
    <col width="8" customWidth="1" style="26" min="5" max="5"/>
    <col width="10" customWidth="1" style="26" min="6" max="7"/>
    <col width="9" customWidth="1" style="26" min="8" max="9"/>
    <col width="22" customWidth="1" style="26" min="10" max="10"/>
    <col width="48" customWidth="1" style="26" min="11" max="11"/>
  </cols>
  <sheetData>
    <row r="1" ht="24.9" customHeight="1" s="26">
      <c r="A1" s="12" t="inlineStr">
        <is>
          <t>指标</t>
        </is>
      </c>
      <c r="B1" s="12" t="inlineStr">
        <is>
          <t>全称</t>
        </is>
      </c>
      <c r="C1" s="12" t="inlineStr">
        <is>
          <t>类别</t>
        </is>
      </c>
      <c r="D1" s="12" t="inlineStr">
        <is>
          <t>位置/速度</t>
        </is>
      </c>
      <c r="E1" s="12" t="inlineStr">
        <is>
          <t>加速度</t>
        </is>
      </c>
      <c r="F1" s="12" t="inlineStr">
        <is>
          <t>前后车配对</t>
        </is>
      </c>
      <c r="G1" s="12" t="inlineStr">
        <is>
          <t>带朝向外框</t>
        </is>
      </c>
      <c r="H1" s="12" t="inlineStr">
        <is>
          <t>交叉路线</t>
        </is>
      </c>
      <c r="I1" s="12" t="inlineStr">
        <is>
          <t>车型/质量</t>
        </is>
      </c>
      <c r="J1" s="12" t="inlineStr">
        <is>
          <t>需自设什么</t>
        </is>
      </c>
      <c r="K1" s="12" t="inlineStr">
        <is>
          <t>备注</t>
        </is>
      </c>
    </row>
    <row r="2">
      <c r="A2" s="14" t="inlineStr">
        <is>
          <t>TTC</t>
        </is>
      </c>
      <c r="B2" s="15" t="inlineStr">
        <is>
          <t>time to collision</t>
        </is>
      </c>
      <c r="C2" s="15" t="inlineStr">
        <is>
          <t>纵向·时间</t>
        </is>
      </c>
      <c r="D2" s="24" t="inlineStr">
        <is>
          <t>●</t>
        </is>
      </c>
      <c r="E2" s="24" t="n"/>
      <c r="F2" s="24" t="inlineStr">
        <is>
          <t>●</t>
        </is>
      </c>
      <c r="G2" s="24" t="n"/>
      <c r="H2" s="24" t="n"/>
      <c r="I2" s="24" t="n"/>
      <c r="J2" s="15" t="n"/>
      <c r="K2" s="15" t="n"/>
    </row>
    <row r="3">
      <c r="A3" s="14" t="inlineStr">
        <is>
          <t>PET</t>
        </is>
      </c>
      <c r="B3" s="15" t="inlineStr">
        <is>
          <t>post-encroachment time</t>
        </is>
      </c>
      <c r="C3" s="15" t="inlineStr">
        <is>
          <t>交叉</t>
        </is>
      </c>
      <c r="D3" s="24" t="inlineStr">
        <is>
          <t>●</t>
        </is>
      </c>
      <c r="E3" s="24" t="n"/>
      <c r="F3" s="24" t="n"/>
      <c r="G3" s="24" t="n"/>
      <c r="H3" s="24" t="inlineStr">
        <is>
          <t>●</t>
        </is>
      </c>
      <c r="I3" s="24" t="n"/>
      <c r="J3" s="15" t="n"/>
      <c r="K3" s="15" t="inlineStr">
        <is>
          <t>有外框时用车身边缘计算更准</t>
        </is>
      </c>
    </row>
    <row r="4">
      <c r="A4" s="14" t="inlineStr">
        <is>
          <t>DRAC</t>
        </is>
      </c>
      <c r="B4" s="15" t="inlineStr">
        <is>
          <t>deceleration rate to avoid crash</t>
        </is>
      </c>
      <c r="C4" s="15" t="inlineStr">
        <is>
          <t>纵向·减速度</t>
        </is>
      </c>
      <c r="D4" s="24" t="inlineStr">
        <is>
          <t>●</t>
        </is>
      </c>
      <c r="E4" s="24" t="n"/>
      <c r="F4" s="24" t="inlineStr">
        <is>
          <t>●</t>
        </is>
      </c>
      <c r="G4" s="24" t="n"/>
      <c r="H4" s="24" t="n"/>
      <c r="I4" s="24" t="n"/>
      <c r="J4" s="15" t="n"/>
      <c r="K4" s="15" t="n"/>
    </row>
    <row r="5">
      <c r="A5" s="14" t="inlineStr">
        <is>
          <t>MTTC</t>
        </is>
      </c>
      <c r="B5" s="15" t="inlineStr">
        <is>
          <t>modified time to collision</t>
        </is>
      </c>
      <c r="C5" s="15" t="inlineStr">
        <is>
          <t>纵向·时间</t>
        </is>
      </c>
      <c r="D5" s="24" t="inlineStr">
        <is>
          <t>●</t>
        </is>
      </c>
      <c r="E5" s="24" t="inlineStr">
        <is>
          <t>●</t>
        </is>
      </c>
      <c r="F5" s="24" t="inlineStr">
        <is>
          <t>●</t>
        </is>
      </c>
      <c r="G5" s="24" t="n"/>
      <c r="H5" s="24" t="n"/>
      <c r="I5" s="24" t="n"/>
      <c r="J5" s="15" t="n"/>
      <c r="K5" s="15" t="inlineStr">
        <is>
          <t>需要两车加速度</t>
        </is>
      </c>
    </row>
    <row r="6">
      <c r="A6" s="14" t="inlineStr">
        <is>
          <t>RTTC (ITTC)</t>
        </is>
      </c>
      <c r="B6" s="15" t="inlineStr">
        <is>
          <t>reciprocal of TTC</t>
        </is>
      </c>
      <c r="C6" s="15" t="inlineStr">
        <is>
          <t>纵向·时间</t>
        </is>
      </c>
      <c r="D6" s="24" t="inlineStr">
        <is>
          <t>●</t>
        </is>
      </c>
      <c r="E6" s="24" t="n"/>
      <c r="F6" s="24" t="inlineStr">
        <is>
          <t>●</t>
        </is>
      </c>
      <c r="G6" s="24" t="n"/>
      <c r="H6" s="24" t="n"/>
      <c r="I6" s="24" t="n"/>
      <c r="J6" s="15" t="n"/>
      <c r="K6" s="15" t="n"/>
    </row>
    <row r="7">
      <c r="A7" s="14" t="inlineStr">
        <is>
          <t>2D-TTC</t>
        </is>
      </c>
      <c r="B7" s="15" t="inlineStr">
        <is>
          <t>two-dimensional TTC</t>
        </is>
      </c>
      <c r="C7" s="15" t="inlineStr">
        <is>
          <t>二维</t>
        </is>
      </c>
      <c r="D7" s="24" t="inlineStr">
        <is>
          <t>●</t>
        </is>
      </c>
      <c r="E7" s="24" t="n"/>
      <c r="F7" s="24" t="n"/>
      <c r="G7" s="24" t="inlineStr">
        <is>
          <t>●</t>
        </is>
      </c>
      <c r="H7" s="24" t="n"/>
      <c r="I7" s="24" t="n"/>
      <c r="J7" s="15" t="n"/>
      <c r="K7" s="15" t="n"/>
    </row>
    <row r="8" ht="23.15" customHeight="1" s="26">
      <c r="A8" s="14" t="inlineStr">
        <is>
          <t>MPrISM</t>
        </is>
      </c>
      <c r="B8" s="15" t="inlineStr">
        <is>
          <t>model predictive instantaneous safety metric</t>
        </is>
      </c>
      <c r="C8" s="15" t="inlineStr">
        <is>
          <t>二维·模型预测</t>
        </is>
      </c>
      <c r="D8" s="24" t="inlineStr">
        <is>
          <t>●</t>
        </is>
      </c>
      <c r="E8" s="24" t="n"/>
      <c r="F8" s="24" t="n"/>
      <c r="G8" s="24" t="inlineStr">
        <is>
          <t>●</t>
        </is>
      </c>
      <c r="H8" s="24" t="n"/>
      <c r="I8" s="24" t="n"/>
      <c r="J8" s="15" t="inlineStr">
        <is>
          <t>车辆动力学模型和最坏情况的设定</t>
        </is>
      </c>
      <c r="K8" s="15" t="inlineStr">
        <is>
          <t>需车辆动力学模型和最坏情况设定</t>
        </is>
      </c>
    </row>
    <row r="9" s="26">
      <c r="A9" s="14" t="inlineStr">
        <is>
          <t>THW</t>
        </is>
      </c>
      <c r="B9" s="15" t="inlineStr">
        <is>
          <t>time headway</t>
        </is>
      </c>
      <c r="C9" s="15" t="inlineStr">
        <is>
          <t>纵向·时间</t>
        </is>
      </c>
      <c r="D9" s="24" t="inlineStr">
        <is>
          <t>●</t>
        </is>
      </c>
      <c r="E9" s="24" t="n"/>
      <c r="F9" s="24" t="inlineStr">
        <is>
          <t>●</t>
        </is>
      </c>
      <c r="G9" s="24" t="n"/>
      <c r="H9" s="24" t="n"/>
      <c r="I9" s="24" t="n"/>
      <c r="J9" s="15" t="n"/>
      <c r="K9" s="15" t="n"/>
    </row>
    <row r="10" s="26">
      <c r="A10" s="14" t="inlineStr">
        <is>
          <t>PSD</t>
        </is>
      </c>
      <c r="B10" s="15" t="inlineStr">
        <is>
          <t>proportion of stopping distance</t>
        </is>
      </c>
      <c r="C10" s="15" t="inlineStr">
        <is>
          <t>纵向·距离</t>
        </is>
      </c>
      <c r="D10" s="24" t="inlineStr">
        <is>
          <t>●</t>
        </is>
      </c>
      <c r="E10" s="24" t="n"/>
      <c r="F10" s="24" t="inlineStr">
        <is>
          <t>●</t>
        </is>
      </c>
      <c r="G10" s="24" t="n"/>
      <c r="H10" s="24" t="n"/>
      <c r="I10" s="24" t="n"/>
      <c r="J10" s="15" t="inlineStr">
        <is>
          <t>最大可接受减速度</t>
        </is>
      </c>
      <c r="K10" s="15" t="inlineStr">
        <is>
          <t>需最大可接受减速度</t>
        </is>
      </c>
    </row>
    <row r="11" ht="23.15" customHeight="1" s="26">
      <c r="A11" s="14" t="inlineStr">
        <is>
          <t>PICUD</t>
        </is>
      </c>
      <c r="B11" s="15" t="inlineStr">
        <is>
          <t>potential index for collision with urgent deceleration</t>
        </is>
      </c>
      <c r="C11" s="15" t="inlineStr">
        <is>
          <t>纵向·距离</t>
        </is>
      </c>
      <c r="D11" s="24" t="inlineStr">
        <is>
          <t>●</t>
        </is>
      </c>
      <c r="E11" s="24" t="n"/>
      <c r="F11" s="24" t="inlineStr">
        <is>
          <t>●</t>
        </is>
      </c>
      <c r="G11" s="24" t="n"/>
      <c r="H11" s="24" t="n"/>
      <c r="I11" s="24" t="n"/>
      <c r="J11" s="15" t="inlineStr">
        <is>
          <t>反应时间、急刹减速度</t>
        </is>
      </c>
      <c r="K11" s="15" t="inlineStr">
        <is>
          <t>需反应时间和急刹减速度</t>
        </is>
      </c>
    </row>
    <row r="12" ht="23.15" customHeight="1" s="26">
      <c r="A12" s="14" t="inlineStr">
        <is>
          <t>DST</t>
        </is>
      </c>
      <c r="B12" s="15" t="inlineStr">
        <is>
          <t>deceleration to safety time</t>
        </is>
      </c>
      <c r="C12" s="15" t="inlineStr">
        <is>
          <t>纵向·减速度</t>
        </is>
      </c>
      <c r="D12" s="24" t="inlineStr">
        <is>
          <t>●</t>
        </is>
      </c>
      <c r="E12" s="24" t="n"/>
      <c r="F12" s="24" t="inlineStr">
        <is>
          <t>●</t>
        </is>
      </c>
      <c r="G12" s="24" t="n"/>
      <c r="H12" s="24" t="n"/>
      <c r="I12" s="24" t="n"/>
      <c r="J12" s="15" t="inlineStr">
        <is>
          <t>安全时距（NHTSA 那篇用 1.4 秒）</t>
        </is>
      </c>
      <c r="K12" s="15" t="inlineStr">
        <is>
          <t>需设定安全时距（NHTSA 那篇用 1.4 秒）</t>
        </is>
      </c>
    </row>
    <row r="13" s="26">
      <c r="A13" s="14" t="inlineStr">
        <is>
          <t>CPI</t>
        </is>
      </c>
      <c r="B13" s="15" t="inlineStr">
        <is>
          <t>crash potential index</t>
        </is>
      </c>
      <c r="C13" s="15" t="inlineStr">
        <is>
          <t>纵向·减速度</t>
        </is>
      </c>
      <c r="D13" s="24" t="inlineStr">
        <is>
          <t>●</t>
        </is>
      </c>
      <c r="E13" s="24" t="n"/>
      <c r="F13" s="24" t="inlineStr">
        <is>
          <t>●</t>
        </is>
      </c>
      <c r="G13" s="24" t="n"/>
      <c r="H13" s="24" t="n"/>
      <c r="I13" s="24" t="n"/>
      <c r="J13" s="15" t="inlineStr">
        <is>
          <t>车辆最大可用减速度的分布</t>
        </is>
      </c>
      <c r="K13" s="15" t="inlineStr">
        <is>
          <t>需车辆最大可用减速度的分布；需连续时间序列</t>
        </is>
      </c>
    </row>
    <row r="14" s="26">
      <c r="A14" s="14" t="inlineStr">
        <is>
          <t>RCRI</t>
        </is>
      </c>
      <c r="B14" s="15" t="inlineStr">
        <is>
          <t>rear-end collision risk index</t>
        </is>
      </c>
      <c r="C14" s="15" t="inlineStr">
        <is>
          <t>纵向·距离</t>
        </is>
      </c>
      <c r="D14" s="24" t="inlineStr">
        <is>
          <t>●</t>
        </is>
      </c>
      <c r="E14" s="24" t="n"/>
      <c r="F14" s="24" t="inlineStr">
        <is>
          <t>●</t>
        </is>
      </c>
      <c r="G14" s="24" t="n"/>
      <c r="H14" s="24" t="n"/>
      <c r="I14" s="24" t="n"/>
      <c r="J14" s="15" t="inlineStr">
        <is>
          <t>反应时间、减速度</t>
        </is>
      </c>
      <c r="K14" s="15" t="inlineStr">
        <is>
          <t>需反应时间和减速度</t>
        </is>
      </c>
    </row>
    <row r="15" s="26">
      <c r="A15" s="14" t="inlineStr">
        <is>
          <t>TTB</t>
        </is>
      </c>
      <c r="B15" s="15" t="inlineStr">
        <is>
          <t>time to brake</t>
        </is>
      </c>
      <c r="C15" s="15" t="inlineStr">
        <is>
          <t>纵向·避让</t>
        </is>
      </c>
      <c r="D15" s="24" t="inlineStr">
        <is>
          <t>●</t>
        </is>
      </c>
      <c r="E15" s="24" t="n"/>
      <c r="F15" s="24" t="inlineStr">
        <is>
          <t>●</t>
        </is>
      </c>
      <c r="G15" s="24" t="n"/>
      <c r="H15" s="24" t="n"/>
      <c r="I15" s="24" t="n"/>
      <c r="J15" s="15" t="inlineStr">
        <is>
          <t>最大减速度</t>
        </is>
      </c>
      <c r="K15" s="15" t="inlineStr">
        <is>
          <t>需最大减速度</t>
        </is>
      </c>
    </row>
    <row r="16" s="26">
      <c r="A16" s="14" t="inlineStr">
        <is>
          <t>TTS</t>
        </is>
      </c>
      <c r="B16" s="15" t="inlineStr">
        <is>
          <t>time to steer</t>
        </is>
      </c>
      <c r="C16" s="15" t="inlineStr">
        <is>
          <t>二维·避让</t>
        </is>
      </c>
      <c r="D16" s="24" t="inlineStr">
        <is>
          <t>●</t>
        </is>
      </c>
      <c r="E16" s="24" t="n"/>
      <c r="F16" s="24" t="n"/>
      <c r="G16" s="24" t="inlineStr">
        <is>
          <t>●</t>
        </is>
      </c>
      <c r="H16" s="24" t="n"/>
      <c r="I16" s="24" t="n"/>
      <c r="J16" s="15" t="inlineStr">
        <is>
          <t>最大横向加速度</t>
        </is>
      </c>
      <c r="K16" s="15" t="inlineStr">
        <is>
          <t>需最大横向加速度</t>
        </is>
      </c>
    </row>
    <row r="17" s="26">
      <c r="A17" s="14" t="inlineStr">
        <is>
          <t>CI</t>
        </is>
      </c>
      <c r="B17" s="15" t="inlineStr">
        <is>
          <t>crash index (Ozbay et al. 2008)</t>
        </is>
      </c>
      <c r="C17" s="15" t="inlineStr">
        <is>
          <t>纵向·综合</t>
        </is>
      </c>
      <c r="D17" s="24" t="inlineStr">
        <is>
          <t>●</t>
        </is>
      </c>
      <c r="E17" s="24" t="inlineStr">
        <is>
          <t>●</t>
        </is>
      </c>
      <c r="F17" s="24" t="inlineStr">
        <is>
          <t>●</t>
        </is>
      </c>
      <c r="G17" s="24" t="n"/>
      <c r="H17" s="24" t="n"/>
      <c r="I17" s="24" t="n"/>
      <c r="J17" s="15" t="n"/>
      <c r="K17" s="15" t="inlineStr">
        <is>
          <t>基于 MTTC，需要加速度</t>
        </is>
      </c>
    </row>
    <row r="18" s="26">
      <c r="A18" s="14" t="inlineStr">
        <is>
          <t>GT</t>
        </is>
      </c>
      <c r="B18" s="15" t="inlineStr">
        <is>
          <t>gap time</t>
        </is>
      </c>
      <c r="C18" s="15" t="inlineStr">
        <is>
          <t>交叉</t>
        </is>
      </c>
      <c r="D18" s="24" t="inlineStr">
        <is>
          <t>●</t>
        </is>
      </c>
      <c r="E18" s="24" t="n"/>
      <c r="F18" s="24" t="n"/>
      <c r="G18" s="24" t="n"/>
      <c r="H18" s="24" t="inlineStr">
        <is>
          <t>●</t>
        </is>
      </c>
      <c r="I18" s="24" t="n"/>
      <c r="J18" s="15" t="n"/>
      <c r="K18" s="15" t="n"/>
    </row>
    <row r="19" s="26">
      <c r="A19" s="14" t="inlineStr">
        <is>
          <t>ACT</t>
        </is>
      </c>
      <c r="B19" s="15" t="inlineStr">
        <is>
          <t>anticipated collision time</t>
        </is>
      </c>
      <c r="C19" s="15" t="inlineStr">
        <is>
          <t>二维</t>
        </is>
      </c>
      <c r="D19" s="24" t="inlineStr">
        <is>
          <t>●</t>
        </is>
      </c>
      <c r="E19" s="24" t="n"/>
      <c r="F19" s="24" t="n"/>
      <c r="G19" s="24" t="inlineStr">
        <is>
          <t>●</t>
        </is>
      </c>
      <c r="H19" s="24" t="n"/>
      <c r="I19" s="24" t="n"/>
      <c r="J19" s="15" t="n"/>
      <c r="K19" s="15" t="n"/>
    </row>
    <row r="20" s="26">
      <c r="A20" s="14" t="inlineStr">
        <is>
          <t>delta-V</t>
        </is>
      </c>
      <c r="B20" s="15" t="inlineStr">
        <is>
          <t>change in velocity during a (potential) collision</t>
        </is>
      </c>
      <c r="C20" s="15" t="inlineStr">
        <is>
          <t>严重度</t>
        </is>
      </c>
      <c r="D20" s="24" t="inlineStr">
        <is>
          <t>●</t>
        </is>
      </c>
      <c r="E20" s="24" t="n"/>
      <c r="F20" s="24" t="n"/>
      <c r="G20" s="24" t="n"/>
      <c r="H20" s="24" t="n"/>
      <c r="I20" s="24" t="inlineStr">
        <is>
          <t>●</t>
        </is>
      </c>
      <c r="J20" s="15" t="inlineStr">
        <is>
          <t>车辆质量（按车型取典型值）</t>
        </is>
      </c>
      <c r="K20" s="15" t="inlineStr">
        <is>
          <t>按车型取典型质量</t>
        </is>
      </c>
    </row>
    <row r="21" s="26"/>
    <row r="22" ht="24.9" customHeight="1" s="26">
      <c r="A22" s="33" t="inlineStr">
        <is>
          <t>● 必需</t>
        </is>
      </c>
    </row>
    <row r="23" ht="24.9" customHeight="1" s="26"/>
    <row r="24" ht="24.9" customHeight="1" s="26"/>
    <row r="25" ht="24.9" customHeight="1" s="26"/>
    <row r="26" ht="24.9" customHeight="1" s="26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2026-10-08T21:21:35Z</dcterms:created>
  <dcterms:modified xmlns:dcterms="http://purl.org/dc/terms/" xmlns:xsi="http://www.w3.org/2001/XMLSchema-instance" xsi:type="dcterms:W3CDTF">2026-10-16T00:29:46Z</dcterms:modified>
  <cp:lastModifiedBy>syyy wang</cp:lastModifiedBy>
</cp:coreProperties>
</file>